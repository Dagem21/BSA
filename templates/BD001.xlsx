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0" windowWidth="20730" windowHeight="1176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C36" i="1"/>
  <c r="C16"/>
  <c r="C15" s="1"/>
  <c r="C60"/>
  <c r="C65"/>
  <c r="C56"/>
  <c r="C45"/>
  <c r="C40"/>
  <c r="C25"/>
  <c r="C20"/>
</calcChain>
</file>

<file path=xl/sharedStrings.xml><?xml version="1.0" encoding="utf-8"?>
<sst xmlns="http://schemas.openxmlformats.org/spreadsheetml/2006/main" count="91" uniqueCount="83">
  <si>
    <t xml:space="preserve">Instiution code </t>
  </si>
  <si>
    <t>Financial Year</t>
  </si>
  <si>
    <t>Start Date</t>
  </si>
  <si>
    <t>End Date</t>
  </si>
  <si>
    <t>Code</t>
  </si>
  <si>
    <t>Description</t>
  </si>
  <si>
    <t>TOTAL LOANS &amp; ADVANCES (sum 2-4)</t>
  </si>
  <si>
    <t>SHORT TERM (sum 2.1-2.13)</t>
  </si>
  <si>
    <t xml:space="preserve">   Agriculture</t>
  </si>
  <si>
    <t xml:space="preserve">  Manufacturing</t>
  </si>
  <si>
    <t xml:space="preserve">   Domestic trade </t>
  </si>
  <si>
    <t xml:space="preserve">   International trade (sum 2.4.1-2.4.2)</t>
  </si>
  <si>
    <t>2.4.1</t>
  </si>
  <si>
    <t xml:space="preserve">   Export </t>
  </si>
  <si>
    <t>2.4.2</t>
  </si>
  <si>
    <t xml:space="preserve">  Import </t>
  </si>
  <si>
    <t xml:space="preserve">  Hotel &amp; tourism</t>
  </si>
  <si>
    <t xml:space="preserve">  Transport and communication</t>
  </si>
  <si>
    <t xml:space="preserve">   Building &amp; construction (sum 2.7.1-2.7.4)</t>
  </si>
  <si>
    <t>2.7.1</t>
  </si>
  <si>
    <t xml:space="preserve">  Residential building</t>
  </si>
  <si>
    <t>2.7.2</t>
  </si>
  <si>
    <t xml:space="preserve"> Commercial building </t>
  </si>
  <si>
    <t>2.7.3</t>
  </si>
  <si>
    <t xml:space="preserve">  Real estate </t>
  </si>
  <si>
    <t>2.7.4</t>
  </si>
  <si>
    <t xml:space="preserve"> Others</t>
  </si>
  <si>
    <t xml:space="preserve">  Mines, power &amp; water resource</t>
  </si>
  <si>
    <t>Consumer loans</t>
  </si>
  <si>
    <t xml:space="preserve"> Inter-bank loans</t>
  </si>
  <si>
    <t xml:space="preserve"> Loans to non-bank financial institutions</t>
  </si>
  <si>
    <t xml:space="preserve"> Insider loans</t>
  </si>
  <si>
    <t xml:space="preserve"> Other short term loans</t>
  </si>
  <si>
    <t xml:space="preserve">MEDIUM TERM (sum 3.1-3.13) </t>
  </si>
  <si>
    <t xml:space="preserve"> Agriculture</t>
  </si>
  <si>
    <t xml:space="preserve">  Domestic trade </t>
  </si>
  <si>
    <t xml:space="preserve">  International trade (sum 3.4.1-3.4.2)</t>
  </si>
  <si>
    <t>3.4.1</t>
  </si>
  <si>
    <t>3.4.2</t>
  </si>
  <si>
    <t xml:space="preserve"> Import </t>
  </si>
  <si>
    <t xml:space="preserve"> Hotel &amp; tourism</t>
  </si>
  <si>
    <t xml:space="preserve">  Building &amp; construction (sum 3.7.1-3.7.4)</t>
  </si>
  <si>
    <t>3.7.1</t>
  </si>
  <si>
    <t xml:space="preserve"> Residential building</t>
  </si>
  <si>
    <t>3.7.2</t>
  </si>
  <si>
    <t xml:space="preserve">Commercial building </t>
  </si>
  <si>
    <t>3.7.3</t>
  </si>
  <si>
    <t xml:space="preserve">Real estate </t>
  </si>
  <si>
    <t>3.7.4</t>
  </si>
  <si>
    <t xml:space="preserve">   Others</t>
  </si>
  <si>
    <t xml:space="preserve">   Mines, power &amp; water resource</t>
  </si>
  <si>
    <t xml:space="preserve">   Consumer loans</t>
  </si>
  <si>
    <t xml:space="preserve">    Inter-bank loans</t>
  </si>
  <si>
    <t xml:space="preserve">  Loans to non-bank financial institutions</t>
  </si>
  <si>
    <t xml:space="preserve">  Other medium term loans</t>
  </si>
  <si>
    <t xml:space="preserve">LONG TERM (sum 4.1-4.13) </t>
  </si>
  <si>
    <t>Agriculture</t>
  </si>
  <si>
    <t>Manufacturing</t>
  </si>
  <si>
    <t xml:space="preserve"> Domestic trade </t>
  </si>
  <si>
    <t>International trade (sum 4.4.1-4.4.2)</t>
  </si>
  <si>
    <t>4.4.1</t>
  </si>
  <si>
    <t xml:space="preserve">Export </t>
  </si>
  <si>
    <t>4.4.2</t>
  </si>
  <si>
    <t xml:space="preserve">Import </t>
  </si>
  <si>
    <t>Transport and communication</t>
  </si>
  <si>
    <t>Building &amp; construction (sum 4.7.1-4.7.4)</t>
  </si>
  <si>
    <t>4.7.1</t>
  </si>
  <si>
    <t>Residential building</t>
  </si>
  <si>
    <t>4.7.2</t>
  </si>
  <si>
    <t>4.7.3</t>
  </si>
  <si>
    <t xml:space="preserve"> Real estate </t>
  </si>
  <si>
    <t>4.7.4</t>
  </si>
  <si>
    <t>Others</t>
  </si>
  <si>
    <t xml:space="preserve"> Mines, power &amp; water resource</t>
  </si>
  <si>
    <t>Inter-bank loans</t>
  </si>
  <si>
    <t>Insider loans</t>
  </si>
  <si>
    <t xml:space="preserve"> Other long term loans</t>
  </si>
  <si>
    <t>BD_L&amp;A_BD001</t>
  </si>
  <si>
    <t>2.10</t>
  </si>
  <si>
    <t>3.10</t>
  </si>
  <si>
    <t>4.10</t>
  </si>
  <si>
    <t>In Millions of Birr</t>
  </si>
  <si>
    <t>Breakdown of Loans and Advances</t>
  </si>
</sst>
</file>

<file path=xl/styles.xml><?xml version="1.0" encoding="utf-8"?>
<styleSheet xmlns="http://schemas.openxmlformats.org/spreadsheetml/2006/main">
  <numFmts count="1">
    <numFmt numFmtId="165" formatCode="[$-10452]yyyy\-mm\-dd;@"/>
  </numFmts>
  <fonts count="5">
    <font>
      <sz val="11"/>
      <color theme="1"/>
      <name val="Calibri"/>
      <family val="2"/>
      <scheme val="minor"/>
    </font>
    <font>
      <sz val="12"/>
      <color rgb="FF1111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25252"/>
      </left>
      <right style="medium">
        <color rgb="FF525252"/>
      </right>
      <top style="medium">
        <color rgb="FF525252"/>
      </top>
      <bottom style="medium">
        <color rgb="FF525252"/>
      </bottom>
      <diagonal/>
    </border>
    <border>
      <left/>
      <right/>
      <top/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ck">
        <color rgb="FF7030A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7030A0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ck">
        <color rgb="FF7030A0"/>
      </top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ck">
        <color rgb="FF7030A0"/>
      </left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ck">
        <color rgb="FF7030A0"/>
      </right>
      <top style="thin">
        <color indexed="64"/>
      </top>
      <bottom style="thick">
        <color rgb="FF7030A0"/>
      </bottom>
      <diagonal/>
    </border>
    <border>
      <left style="thick">
        <color rgb="FF00B050"/>
      </left>
      <right/>
      <top style="thick">
        <color rgb="FF00B050"/>
      </top>
      <bottom/>
      <diagonal/>
    </border>
    <border>
      <left/>
      <right/>
      <top style="thick">
        <color rgb="FF00B050"/>
      </top>
      <bottom/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 style="thin">
        <color indexed="64"/>
      </bottom>
      <diagonal/>
    </border>
    <border>
      <left/>
      <right style="thick">
        <color rgb="FF00B050"/>
      </right>
      <top/>
      <bottom style="thin">
        <color indexed="64"/>
      </bottom>
      <diagonal/>
    </border>
    <border>
      <left style="thick">
        <color rgb="FF00B05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B050"/>
      </right>
      <top style="thin">
        <color indexed="64"/>
      </top>
      <bottom style="thin">
        <color indexed="64"/>
      </bottom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thick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B050"/>
      </bottom>
      <diagonal/>
    </border>
    <border>
      <left style="thin">
        <color indexed="64"/>
      </left>
      <right style="thick">
        <color rgb="FF00B050"/>
      </right>
      <top style="thin">
        <color indexed="64"/>
      </top>
      <bottom style="thick">
        <color rgb="FF00B05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4" xfId="0" applyFont="1" applyFill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39" fontId="2" fillId="0" borderId="10" xfId="0" applyNumberFormat="1" applyFont="1" applyBorder="1" applyAlignment="1">
      <alignment vertical="top" wrapText="1"/>
    </xf>
    <xf numFmtId="49" fontId="2" fillId="0" borderId="9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top" wrapText="1"/>
    </xf>
    <xf numFmtId="0" fontId="3" fillId="5" borderId="3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left"/>
    </xf>
    <xf numFmtId="0" fontId="3" fillId="5" borderId="23" xfId="0" applyFont="1" applyFill="1" applyBorder="1" applyAlignment="1">
      <alignment horizontal="left"/>
    </xf>
    <xf numFmtId="0" fontId="3" fillId="5" borderId="24" xfId="0" applyFont="1" applyFill="1" applyBorder="1" applyAlignment="1">
      <alignment horizontal="left"/>
    </xf>
    <xf numFmtId="0" fontId="3" fillId="5" borderId="25" xfId="0" applyFont="1" applyFill="1" applyBorder="1" applyAlignment="1">
      <alignment horizontal="left"/>
    </xf>
    <xf numFmtId="49" fontId="2" fillId="5" borderId="22" xfId="0" applyNumberFormat="1" applyFont="1" applyFill="1" applyBorder="1" applyAlignment="1" applyProtection="1">
      <alignment horizontal="right"/>
      <protection locked="0"/>
    </xf>
    <xf numFmtId="165" fontId="2" fillId="5" borderId="22" xfId="0" applyNumberFormat="1" applyFont="1" applyFill="1" applyBorder="1" applyAlignment="1" applyProtection="1">
      <alignment horizontal="right"/>
      <protection locked="0"/>
    </xf>
    <xf numFmtId="165" fontId="2" fillId="5" borderId="26" xfId="0" applyNumberFormat="1" applyFont="1" applyFill="1" applyBorder="1" applyAlignment="1" applyProtection="1">
      <alignment horizontal="right"/>
      <protection locked="0"/>
    </xf>
    <xf numFmtId="39" fontId="2" fillId="0" borderId="10" xfId="0" applyNumberFormat="1" applyFont="1" applyBorder="1" applyAlignment="1" applyProtection="1">
      <alignment vertical="top" wrapText="1"/>
      <protection locked="0"/>
    </xf>
    <xf numFmtId="39" fontId="2" fillId="0" borderId="13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>
      <selection activeCell="A4" sqref="A4:C7"/>
    </sheetView>
  </sheetViews>
  <sheetFormatPr defaultRowHeight="15.75"/>
  <cols>
    <col min="1" max="1" width="20.42578125" style="2" customWidth="1"/>
    <col min="2" max="2" width="43.42578125" style="2" customWidth="1"/>
    <col min="3" max="3" width="28.5703125" style="2" customWidth="1"/>
    <col min="4" max="16384" width="9.140625" style="2"/>
  </cols>
  <sheetData>
    <row r="1" spans="1:3" ht="16.5" thickBot="1">
      <c r="A1" s="1" t="s">
        <v>77</v>
      </c>
    </row>
    <row r="3" spans="1:3" ht="16.5" thickBot="1"/>
    <row r="4" spans="1:3" ht="16.5" thickTop="1">
      <c r="A4" s="18" t="s">
        <v>82</v>
      </c>
      <c r="B4" s="19"/>
      <c r="C4" s="20"/>
    </row>
    <row r="5" spans="1:3">
      <c r="A5" s="21"/>
      <c r="B5" s="5"/>
      <c r="C5" s="22"/>
    </row>
    <row r="6" spans="1:3">
      <c r="A6" s="21"/>
      <c r="B6" s="5"/>
      <c r="C6" s="22"/>
    </row>
    <row r="7" spans="1:3">
      <c r="A7" s="23"/>
      <c r="B7" s="6"/>
      <c r="C7" s="24"/>
    </row>
    <row r="8" spans="1:3">
      <c r="A8" s="25" t="s">
        <v>0</v>
      </c>
      <c r="B8" s="16"/>
      <c r="C8" s="29"/>
    </row>
    <row r="9" spans="1:3">
      <c r="A9" s="25" t="s">
        <v>1</v>
      </c>
      <c r="B9" s="16"/>
      <c r="C9" s="29"/>
    </row>
    <row r="10" spans="1:3">
      <c r="A10" s="26" t="s">
        <v>2</v>
      </c>
      <c r="B10" s="17"/>
      <c r="C10" s="30"/>
    </row>
    <row r="11" spans="1:3" ht="16.5" thickBot="1">
      <c r="A11" s="27" t="s">
        <v>3</v>
      </c>
      <c r="B11" s="28"/>
      <c r="C11" s="31"/>
    </row>
    <row r="12" spans="1:3" ht="16.5" thickTop="1">
      <c r="B12" s="3"/>
      <c r="C12" s="3"/>
    </row>
    <row r="13" spans="1:3" ht="16.5" thickBot="1">
      <c r="B13" s="3"/>
      <c r="C13" s="7" t="s">
        <v>81</v>
      </c>
    </row>
    <row r="14" spans="1:3" ht="16.5" thickTop="1">
      <c r="A14" s="8" t="s">
        <v>4</v>
      </c>
      <c r="B14" s="9" t="s">
        <v>5</v>
      </c>
      <c r="C14" s="10"/>
    </row>
    <row r="15" spans="1:3">
      <c r="A15" s="11">
        <v>1</v>
      </c>
      <c r="B15" s="4" t="s">
        <v>6</v>
      </c>
      <c r="C15" s="12">
        <f>C16+C36+C56</f>
        <v>0</v>
      </c>
    </row>
    <row r="16" spans="1:3">
      <c r="A16" s="11">
        <v>2</v>
      </c>
      <c r="B16" s="4" t="s">
        <v>7</v>
      </c>
      <c r="C16" s="12">
        <f>C17+C18+C19+C20+C23+C24+C25+C30+C31+C32+C33+C34+C35</f>
        <v>0</v>
      </c>
    </row>
    <row r="17" spans="1:3">
      <c r="A17" s="11">
        <v>2.1</v>
      </c>
      <c r="B17" s="4" t="s">
        <v>8</v>
      </c>
      <c r="C17" s="32"/>
    </row>
    <row r="18" spans="1:3" ht="14.25" customHeight="1">
      <c r="A18" s="11">
        <v>2.2000000000000002</v>
      </c>
      <c r="B18" s="4" t="s">
        <v>9</v>
      </c>
      <c r="C18" s="32"/>
    </row>
    <row r="19" spans="1:3">
      <c r="A19" s="11">
        <v>2.2999999999999998</v>
      </c>
      <c r="B19" s="4" t="s">
        <v>10</v>
      </c>
      <c r="C19" s="32"/>
    </row>
    <row r="20" spans="1:3">
      <c r="A20" s="11">
        <v>2.4</v>
      </c>
      <c r="B20" s="4" t="s">
        <v>11</v>
      </c>
      <c r="C20" s="12">
        <f>C21+C22</f>
        <v>0</v>
      </c>
    </row>
    <row r="21" spans="1:3">
      <c r="A21" s="11" t="s">
        <v>12</v>
      </c>
      <c r="B21" s="4" t="s">
        <v>13</v>
      </c>
      <c r="C21" s="32"/>
    </row>
    <row r="22" spans="1:3">
      <c r="A22" s="11" t="s">
        <v>14</v>
      </c>
      <c r="B22" s="4" t="s">
        <v>15</v>
      </c>
      <c r="C22" s="32"/>
    </row>
    <row r="23" spans="1:3">
      <c r="A23" s="11">
        <v>2.5</v>
      </c>
      <c r="B23" s="4" t="s">
        <v>16</v>
      </c>
      <c r="C23" s="32"/>
    </row>
    <row r="24" spans="1:3">
      <c r="A24" s="11">
        <v>2.6</v>
      </c>
      <c r="B24" s="4" t="s">
        <v>17</v>
      </c>
      <c r="C24" s="32"/>
    </row>
    <row r="25" spans="1:3">
      <c r="A25" s="11">
        <v>2.7</v>
      </c>
      <c r="B25" s="4" t="s">
        <v>18</v>
      </c>
      <c r="C25" s="12">
        <f>C26+C27+C28+C29</f>
        <v>0</v>
      </c>
    </row>
    <row r="26" spans="1:3" ht="18" customHeight="1">
      <c r="A26" s="11" t="s">
        <v>19</v>
      </c>
      <c r="B26" s="4" t="s">
        <v>20</v>
      </c>
      <c r="C26" s="32"/>
    </row>
    <row r="27" spans="1:3" ht="12.75" customHeight="1">
      <c r="A27" s="11" t="s">
        <v>21</v>
      </c>
      <c r="B27" s="4" t="s">
        <v>22</v>
      </c>
      <c r="C27" s="32"/>
    </row>
    <row r="28" spans="1:3">
      <c r="A28" s="11" t="s">
        <v>23</v>
      </c>
      <c r="B28" s="4" t="s">
        <v>24</v>
      </c>
      <c r="C28" s="32"/>
    </row>
    <row r="29" spans="1:3">
      <c r="A29" s="11" t="s">
        <v>25</v>
      </c>
      <c r="B29" s="4" t="s">
        <v>26</v>
      </c>
      <c r="C29" s="32"/>
    </row>
    <row r="30" spans="1:3">
      <c r="A30" s="11">
        <v>2.8</v>
      </c>
      <c r="B30" s="4" t="s">
        <v>27</v>
      </c>
      <c r="C30" s="32"/>
    </row>
    <row r="31" spans="1:3">
      <c r="A31" s="11">
        <v>2.9</v>
      </c>
      <c r="B31" s="4" t="s">
        <v>28</v>
      </c>
      <c r="C31" s="32"/>
    </row>
    <row r="32" spans="1:3">
      <c r="A32" s="13" t="s">
        <v>78</v>
      </c>
      <c r="B32" s="4" t="s">
        <v>29</v>
      </c>
      <c r="C32" s="32"/>
    </row>
    <row r="33" spans="1:3" ht="18" customHeight="1">
      <c r="A33" s="11">
        <v>2.11</v>
      </c>
      <c r="B33" s="4" t="s">
        <v>30</v>
      </c>
      <c r="C33" s="32"/>
    </row>
    <row r="34" spans="1:3" ht="15" customHeight="1">
      <c r="A34" s="11">
        <v>2.12</v>
      </c>
      <c r="B34" s="4" t="s">
        <v>31</v>
      </c>
      <c r="C34" s="32"/>
    </row>
    <row r="35" spans="1:3" ht="17.25" customHeight="1">
      <c r="A35" s="11">
        <v>2.13</v>
      </c>
      <c r="B35" s="4" t="s">
        <v>32</v>
      </c>
      <c r="C35" s="32"/>
    </row>
    <row r="36" spans="1:3" ht="15" customHeight="1">
      <c r="A36" s="11">
        <v>3</v>
      </c>
      <c r="B36" s="4" t="s">
        <v>33</v>
      </c>
      <c r="C36" s="12">
        <f>C37+C38+C39+C40+C43+C44+C45+C50+C51+C52+C53+C54+C55</f>
        <v>0</v>
      </c>
    </row>
    <row r="37" spans="1:3" ht="18.75" customHeight="1">
      <c r="A37" s="11">
        <v>3.1</v>
      </c>
      <c r="B37" s="4" t="s">
        <v>34</v>
      </c>
      <c r="C37" s="32"/>
    </row>
    <row r="38" spans="1:3" ht="16.5" customHeight="1">
      <c r="A38" s="11">
        <v>3.2</v>
      </c>
      <c r="B38" s="4" t="s">
        <v>9</v>
      </c>
      <c r="C38" s="32"/>
    </row>
    <row r="39" spans="1:3" ht="15" customHeight="1">
      <c r="A39" s="11">
        <v>3.3</v>
      </c>
      <c r="B39" s="4" t="s">
        <v>35</v>
      </c>
      <c r="C39" s="32"/>
    </row>
    <row r="40" spans="1:3" ht="19.5" customHeight="1">
      <c r="A40" s="11">
        <v>3.4</v>
      </c>
      <c r="B40" s="4" t="s">
        <v>36</v>
      </c>
      <c r="C40" s="12">
        <f>C41+C42</f>
        <v>0</v>
      </c>
    </row>
    <row r="41" spans="1:3">
      <c r="A41" s="11" t="s">
        <v>37</v>
      </c>
      <c r="B41" s="4" t="s">
        <v>13</v>
      </c>
      <c r="C41" s="32"/>
    </row>
    <row r="42" spans="1:3">
      <c r="A42" s="11" t="s">
        <v>38</v>
      </c>
      <c r="B42" s="4" t="s">
        <v>39</v>
      </c>
      <c r="C42" s="32"/>
    </row>
    <row r="43" spans="1:3">
      <c r="A43" s="11">
        <v>3.5</v>
      </c>
      <c r="B43" s="4" t="s">
        <v>40</v>
      </c>
      <c r="C43" s="32"/>
    </row>
    <row r="44" spans="1:3" ht="18.75" customHeight="1">
      <c r="A44" s="11">
        <v>3.6</v>
      </c>
      <c r="B44" s="4" t="s">
        <v>17</v>
      </c>
      <c r="C44" s="32"/>
    </row>
    <row r="45" spans="1:3" ht="15" customHeight="1">
      <c r="A45" s="11">
        <v>3.7</v>
      </c>
      <c r="B45" s="4" t="s">
        <v>41</v>
      </c>
      <c r="C45" s="12">
        <f>C46+C47+C48+C49</f>
        <v>0</v>
      </c>
    </row>
    <row r="46" spans="1:3" ht="18" customHeight="1">
      <c r="A46" s="11" t="s">
        <v>42</v>
      </c>
      <c r="B46" s="4" t="s">
        <v>43</v>
      </c>
      <c r="C46" s="32"/>
    </row>
    <row r="47" spans="1:3" ht="18.75" customHeight="1">
      <c r="A47" s="11" t="s">
        <v>44</v>
      </c>
      <c r="B47" s="4" t="s">
        <v>45</v>
      </c>
      <c r="C47" s="32"/>
    </row>
    <row r="48" spans="1:3">
      <c r="A48" s="11" t="s">
        <v>46</v>
      </c>
      <c r="B48" s="4" t="s">
        <v>47</v>
      </c>
      <c r="C48" s="32"/>
    </row>
    <row r="49" spans="1:3">
      <c r="A49" s="11" t="s">
        <v>48</v>
      </c>
      <c r="B49" s="4" t="s">
        <v>49</v>
      </c>
      <c r="C49" s="32"/>
    </row>
    <row r="50" spans="1:3" ht="17.25" customHeight="1">
      <c r="A50" s="11">
        <v>3.8</v>
      </c>
      <c r="B50" s="4" t="s">
        <v>50</v>
      </c>
      <c r="C50" s="32"/>
    </row>
    <row r="51" spans="1:3" ht="15.75" customHeight="1">
      <c r="A51" s="11">
        <v>3.9</v>
      </c>
      <c r="B51" s="4" t="s">
        <v>51</v>
      </c>
      <c r="C51" s="32"/>
    </row>
    <row r="52" spans="1:3">
      <c r="A52" s="13" t="s">
        <v>79</v>
      </c>
      <c r="B52" s="4" t="s">
        <v>52</v>
      </c>
      <c r="C52" s="32"/>
    </row>
    <row r="53" spans="1:3" ht="18.75" customHeight="1">
      <c r="A53" s="11">
        <v>3.11</v>
      </c>
      <c r="B53" s="4" t="s">
        <v>53</v>
      </c>
      <c r="C53" s="32"/>
    </row>
    <row r="54" spans="1:3" ht="15.75" customHeight="1">
      <c r="A54" s="11">
        <v>3.12</v>
      </c>
      <c r="B54" s="4" t="s">
        <v>31</v>
      </c>
      <c r="C54" s="32"/>
    </row>
    <row r="55" spans="1:3" ht="16.5" customHeight="1">
      <c r="A55" s="11">
        <v>3.13</v>
      </c>
      <c r="B55" s="4" t="s">
        <v>54</v>
      </c>
      <c r="C55" s="32"/>
    </row>
    <row r="56" spans="1:3" ht="18.75" customHeight="1">
      <c r="A56" s="11">
        <v>4</v>
      </c>
      <c r="B56" s="4" t="s">
        <v>55</v>
      </c>
      <c r="C56" s="12">
        <f>C57+C58+C59+C60+C63+C64+C65+C70+C71+C72+C73+C74+C75</f>
        <v>0</v>
      </c>
    </row>
    <row r="57" spans="1:3" ht="15.75" customHeight="1">
      <c r="A57" s="11">
        <v>4.0999999999999996</v>
      </c>
      <c r="B57" s="4" t="s">
        <v>56</v>
      </c>
      <c r="C57" s="32"/>
    </row>
    <row r="58" spans="1:3" ht="13.5" customHeight="1">
      <c r="A58" s="11">
        <v>4.2</v>
      </c>
      <c r="B58" s="4" t="s">
        <v>57</v>
      </c>
      <c r="C58" s="32"/>
    </row>
    <row r="59" spans="1:3" ht="15" customHeight="1">
      <c r="A59" s="11">
        <v>4.3</v>
      </c>
      <c r="B59" s="4" t="s">
        <v>58</v>
      </c>
      <c r="C59" s="32"/>
    </row>
    <row r="60" spans="1:3" ht="13.5" customHeight="1">
      <c r="A60" s="11">
        <v>4.4000000000000004</v>
      </c>
      <c r="B60" s="4" t="s">
        <v>59</v>
      </c>
      <c r="C60" s="12">
        <f>C61+C62</f>
        <v>0</v>
      </c>
    </row>
    <row r="61" spans="1:3">
      <c r="A61" s="11" t="s">
        <v>60</v>
      </c>
      <c r="B61" s="4" t="s">
        <v>61</v>
      </c>
      <c r="C61" s="32"/>
    </row>
    <row r="62" spans="1:3">
      <c r="A62" s="11" t="s">
        <v>62</v>
      </c>
      <c r="B62" s="4" t="s">
        <v>63</v>
      </c>
      <c r="C62" s="32"/>
    </row>
    <row r="63" spans="1:3">
      <c r="A63" s="11">
        <v>4.5</v>
      </c>
      <c r="B63" s="4" t="s">
        <v>40</v>
      </c>
      <c r="C63" s="32"/>
    </row>
    <row r="64" spans="1:3" ht="15" customHeight="1">
      <c r="A64" s="11">
        <v>4.5999999999999996</v>
      </c>
      <c r="B64" s="4" t="s">
        <v>64</v>
      </c>
      <c r="C64" s="32"/>
    </row>
    <row r="65" spans="1:3" ht="18" customHeight="1">
      <c r="A65" s="11">
        <v>4.7</v>
      </c>
      <c r="B65" s="4" t="s">
        <v>65</v>
      </c>
      <c r="C65" s="12">
        <f>C66+C67+C68+C69</f>
        <v>0</v>
      </c>
    </row>
    <row r="66" spans="1:3" ht="12" customHeight="1">
      <c r="A66" s="11" t="s">
        <v>66</v>
      </c>
      <c r="B66" s="4" t="s">
        <v>67</v>
      </c>
      <c r="C66" s="32"/>
    </row>
    <row r="67" spans="1:3" ht="15" customHeight="1">
      <c r="A67" s="11" t="s">
        <v>68</v>
      </c>
      <c r="B67" s="4" t="s">
        <v>22</v>
      </c>
      <c r="C67" s="32"/>
    </row>
    <row r="68" spans="1:3">
      <c r="A68" s="11" t="s">
        <v>69</v>
      </c>
      <c r="B68" s="4" t="s">
        <v>70</v>
      </c>
      <c r="C68" s="32"/>
    </row>
    <row r="69" spans="1:3">
      <c r="A69" s="11" t="s">
        <v>71</v>
      </c>
      <c r="B69" s="4" t="s">
        <v>72</v>
      </c>
      <c r="C69" s="32"/>
    </row>
    <row r="70" spans="1:3">
      <c r="A70" s="11">
        <v>4.8</v>
      </c>
      <c r="B70" s="4" t="s">
        <v>73</v>
      </c>
      <c r="C70" s="32"/>
    </row>
    <row r="71" spans="1:3">
      <c r="A71" s="11">
        <v>4.9000000000000004</v>
      </c>
      <c r="B71" s="4" t="s">
        <v>28</v>
      </c>
      <c r="C71" s="32"/>
    </row>
    <row r="72" spans="1:3">
      <c r="A72" s="13" t="s">
        <v>80</v>
      </c>
      <c r="B72" s="4" t="s">
        <v>74</v>
      </c>
      <c r="C72" s="32"/>
    </row>
    <row r="73" spans="1:3">
      <c r="A73" s="11">
        <v>4.1100000000000003</v>
      </c>
      <c r="B73" s="4" t="s">
        <v>30</v>
      </c>
      <c r="C73" s="32"/>
    </row>
    <row r="74" spans="1:3">
      <c r="A74" s="11">
        <v>4.12</v>
      </c>
      <c r="B74" s="4" t="s">
        <v>75</v>
      </c>
      <c r="C74" s="32"/>
    </row>
    <row r="75" spans="1:3" ht="16.5" thickBot="1">
      <c r="A75" s="14">
        <v>4.13</v>
      </c>
      <c r="B75" s="15" t="s">
        <v>76</v>
      </c>
      <c r="C75" s="33"/>
    </row>
    <row r="76" spans="1:3" ht="16.5" thickTop="1"/>
  </sheetData>
  <sheetProtection password="CF68" sheet="1" objects="1" scenarios="1"/>
  <mergeCells count="5">
    <mergeCell ref="A4:C7"/>
    <mergeCell ref="A10:B10"/>
    <mergeCell ref="A11:B11"/>
    <mergeCell ref="A9:B9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Armando da Silva</dc:creator>
  <cp:lastModifiedBy>wubeshetf</cp:lastModifiedBy>
  <dcterms:created xsi:type="dcterms:W3CDTF">2016-05-25T13:29:23Z</dcterms:created>
  <dcterms:modified xsi:type="dcterms:W3CDTF">2017-12-29T12:07:16Z</dcterms:modified>
</cp:coreProperties>
</file>