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ebeTeklu\Desktop\Monthly\Finance\"/>
    </mc:Choice>
  </mc:AlternateContent>
  <bookViews>
    <workbookView xWindow="240" yWindow="105" windowWidth="15600" windowHeight="7230"/>
  </bookViews>
  <sheets>
    <sheet name="MB001MB001" sheetId="1" r:id="rId1"/>
  </sheets>
  <calcPr calcId="162913"/>
</workbook>
</file>

<file path=xl/calcChain.xml><?xml version="1.0" encoding="utf-8"?>
<calcChain xmlns="http://schemas.openxmlformats.org/spreadsheetml/2006/main">
  <c r="C22" i="1" l="1"/>
  <c r="C159" i="1"/>
  <c r="C166" i="1" s="1"/>
  <c r="C155" i="1"/>
  <c r="C147" i="1"/>
  <c r="C143" i="1"/>
  <c r="C139" i="1"/>
  <c r="C135" i="1"/>
  <c r="C125" i="1"/>
  <c r="C117" i="1"/>
  <c r="C102" i="1"/>
  <c r="C94" i="1"/>
  <c r="C85" i="1"/>
  <c r="C84" i="1" s="1"/>
  <c r="C83" i="1" s="1"/>
  <c r="C79" i="1"/>
  <c r="C76" i="1"/>
  <c r="C70" i="1"/>
  <c r="C60" i="1"/>
  <c r="C57" i="1"/>
  <c r="C49" i="1"/>
  <c r="C48" i="1"/>
  <c r="C42" i="1"/>
  <c r="C39" i="1" s="1"/>
  <c r="C34" i="1"/>
  <c r="C30" i="1"/>
  <c r="C27" i="1"/>
  <c r="C18" i="1"/>
  <c r="C56" i="1" l="1"/>
  <c r="C134" i="1"/>
  <c r="C133" i="1" s="1"/>
  <c r="C21" i="1"/>
  <c r="C55" i="1"/>
  <c r="C101" i="1"/>
  <c r="C38" i="1"/>
  <c r="C33" i="1" s="1"/>
  <c r="C73" i="1"/>
  <c r="C100" i="1" l="1"/>
  <c r="C167" i="1" s="1"/>
  <c r="C17" i="1"/>
  <c r="C98" i="1" s="1"/>
</calcChain>
</file>

<file path=xl/sharedStrings.xml><?xml version="1.0" encoding="utf-8"?>
<sst xmlns="http://schemas.openxmlformats.org/spreadsheetml/2006/main" count="257" uniqueCount="236">
  <si>
    <t xml:space="preserve">Instiution Code </t>
  </si>
  <si>
    <t>Financial Year</t>
  </si>
  <si>
    <t>Start Date</t>
  </si>
  <si>
    <t>End Date</t>
  </si>
  <si>
    <t>In Millions of ETB</t>
  </si>
  <si>
    <t>Code</t>
  </si>
  <si>
    <t>Description</t>
  </si>
  <si>
    <t>Current Month</t>
  </si>
  <si>
    <t>ASSETS</t>
  </si>
  <si>
    <t>Financial Assets (Sum 2 -6)</t>
  </si>
  <si>
    <t>CASH ON HAND (2.1+2.2)</t>
  </si>
  <si>
    <t>Foreign currency</t>
  </si>
  <si>
    <t>Local currency</t>
  </si>
  <si>
    <t>DEPOSITS WITH BANKS (3.1+3.2+3.3)</t>
  </si>
  <si>
    <t>Deposits with NBE(sum 3.1.1-3.1.4)</t>
  </si>
  <si>
    <t>3.1.1</t>
  </si>
  <si>
    <t xml:space="preserve">Reserve account </t>
  </si>
  <si>
    <t>3.1.2</t>
  </si>
  <si>
    <t>Payment and settlement  account</t>
  </si>
  <si>
    <t>3.1.3</t>
  </si>
  <si>
    <t>Cash issue account</t>
  </si>
  <si>
    <t xml:space="preserve">3.1.4 </t>
  </si>
  <si>
    <t xml:space="preserve">Other </t>
  </si>
  <si>
    <t>Domestic banks deposits (3.2.1+3.2.2)</t>
  </si>
  <si>
    <t>3.2.1</t>
  </si>
  <si>
    <t xml:space="preserve">Interest bearing </t>
  </si>
  <si>
    <t>3.2.2</t>
  </si>
  <si>
    <t>Non-interest bearing</t>
  </si>
  <si>
    <t>Foreign banks deposits(3.3.1+3.3.2)</t>
  </si>
  <si>
    <t>3.3.1</t>
  </si>
  <si>
    <t>3.3.2</t>
  </si>
  <si>
    <t>INVESTMENTS (4.1+4.2)</t>
  </si>
  <si>
    <t>Short-term Investments(sum 4.1.1-4.1.3)</t>
  </si>
  <si>
    <t>4.1.1</t>
  </si>
  <si>
    <t xml:space="preserve"> Treasury bills</t>
  </si>
  <si>
    <t>4.1.2</t>
  </si>
  <si>
    <t xml:space="preserve">Discount on short-term securities </t>
  </si>
  <si>
    <t>4.1.3</t>
  </si>
  <si>
    <t>Other short-term securities</t>
  </si>
  <si>
    <t>Long-term Investments (4.2.1 + 4.2.2)</t>
  </si>
  <si>
    <t>4.2.1</t>
  </si>
  <si>
    <t xml:space="preserve">Securities (sum 4.2.1.1 - 4.2.1.5) </t>
  </si>
  <si>
    <t>4.2.1.1</t>
  </si>
  <si>
    <t>NBE bills</t>
  </si>
  <si>
    <t>4.2.1.2</t>
  </si>
  <si>
    <t>DBE Bonds</t>
  </si>
  <si>
    <t>4.2.1.3</t>
  </si>
  <si>
    <t xml:space="preserve"> Bonds (sum 4.2.1.3.1-4.2.1.3.3)</t>
  </si>
  <si>
    <t>4.2.1.3.1</t>
  </si>
  <si>
    <t>Federal government</t>
  </si>
  <si>
    <t>4.2.1.3.2</t>
  </si>
  <si>
    <t>Regional government</t>
  </si>
  <si>
    <t>4.2.1.3.3</t>
  </si>
  <si>
    <t>Corporate Bonds</t>
  </si>
  <si>
    <t>4.2.1.4</t>
  </si>
  <si>
    <t>Discount on other long-term securities</t>
  </si>
  <si>
    <t>4.2.1.5</t>
  </si>
  <si>
    <t>Other long-term securities</t>
  </si>
  <si>
    <t>4.2.2</t>
  </si>
  <si>
    <t xml:space="preserve">Equity participation (4.2.2.1 + 4.2.2.2) </t>
  </si>
  <si>
    <t>4.2.2.1</t>
  </si>
  <si>
    <t>Local (sum 4.2.2.1.1-4.2.2.1.4)</t>
  </si>
  <si>
    <t>4.2.2.1.1</t>
  </si>
  <si>
    <t>In Affiliated institutions</t>
  </si>
  <si>
    <t>4.2.2.1.2</t>
  </si>
  <si>
    <t>In banks</t>
  </si>
  <si>
    <t>4.2.2.1.3</t>
  </si>
  <si>
    <t>In non bank financial institutions</t>
  </si>
  <si>
    <t>4.2.2.1.4</t>
  </si>
  <si>
    <t>In other sectors</t>
  </si>
  <si>
    <t>4.2.2.2</t>
  </si>
  <si>
    <t xml:space="preserve">Foreign </t>
  </si>
  <si>
    <t>LOANS AND ADVANCES (NET)(5.1-5.2)</t>
  </si>
  <si>
    <t>Total Loans &amp; Advances (5.1.1+5.1.2+5.1.3)</t>
  </si>
  <si>
    <t>5.1.1</t>
  </si>
  <si>
    <t xml:space="preserve"> Inter bank loans (5.1.1.1+5.1.1.2)</t>
  </si>
  <si>
    <t>5.1.1.1</t>
  </si>
  <si>
    <t>Commercial banks</t>
  </si>
  <si>
    <t>5.1.1.2</t>
  </si>
  <si>
    <t xml:space="preserve">Development bank </t>
  </si>
  <si>
    <t>5.1.2</t>
  </si>
  <si>
    <t>Non-inter bank loans (sum 5.1.2.1-5.1.2.8)</t>
  </si>
  <si>
    <t>5.1.2.1</t>
  </si>
  <si>
    <t>NBE</t>
  </si>
  <si>
    <t>5.1.2.2</t>
  </si>
  <si>
    <t>5.1.2.3</t>
  </si>
  <si>
    <t>5.1.2.4</t>
  </si>
  <si>
    <t>Public entreprises</t>
  </si>
  <si>
    <t>5.1.2.5</t>
  </si>
  <si>
    <t>Cooperatives</t>
  </si>
  <si>
    <t>5.1.2.6</t>
  </si>
  <si>
    <t>Private sector</t>
  </si>
  <si>
    <t>5.1.2.7</t>
  </si>
  <si>
    <t xml:space="preserve">Loans &amp; advances in litigation </t>
  </si>
  <si>
    <t>5.1.2.8</t>
  </si>
  <si>
    <t xml:space="preserve">Others </t>
  </si>
  <si>
    <t>5.1.3</t>
  </si>
  <si>
    <t>Non bank Financial Institution</t>
  </si>
  <si>
    <t>Provisions for loans and advances (5.2.1+5.2.2)</t>
  </si>
  <si>
    <t>5.2.1</t>
  </si>
  <si>
    <t>Provisions for performing loans and advances</t>
  </si>
  <si>
    <t>5.2.2</t>
  </si>
  <si>
    <t>Specific provisions for loan losses</t>
  </si>
  <si>
    <t>OTHER FINANCIAL ASSETS (Net)  [(sum 6.1-6.4) -(6.5)]</t>
  </si>
  <si>
    <t>Sundry debtors</t>
  </si>
  <si>
    <t>Suspense accounts</t>
  </si>
  <si>
    <t>Un-cleared effects (6.3.1+6.3.2)</t>
  </si>
  <si>
    <t>6.3.1</t>
  </si>
  <si>
    <t xml:space="preserve">Foreign  </t>
  </si>
  <si>
    <t>6.3.2</t>
  </si>
  <si>
    <t>Local</t>
  </si>
  <si>
    <t>Other accounts(6.4.1+6.4.2)</t>
  </si>
  <si>
    <t>6.4.1</t>
  </si>
  <si>
    <t>Customers’ liabilities for L/C &amp; acceptances as per contra</t>
  </si>
  <si>
    <t>6.4.2</t>
  </si>
  <si>
    <t xml:space="preserve">Provisions for other financial assets </t>
  </si>
  <si>
    <t>NON-FINANCIAL ASSETS (Sum 8-11)</t>
  </si>
  <si>
    <t xml:space="preserve">FIXED ASSETS (Net)  (8.1– 8.2) </t>
  </si>
  <si>
    <t>Gross fixed assets (sum 8.1.1- 8.1.5)</t>
  </si>
  <si>
    <t>8.1.1</t>
  </si>
  <si>
    <t>Premises</t>
  </si>
  <si>
    <t>8.1.2</t>
  </si>
  <si>
    <t>Vehicles</t>
  </si>
  <si>
    <t>8.1.3</t>
  </si>
  <si>
    <t>Furniture &amp; fittings</t>
  </si>
  <si>
    <t>8.1.4</t>
  </si>
  <si>
    <t>Office &amp; other equipments</t>
  </si>
  <si>
    <t>8.1.5</t>
  </si>
  <si>
    <t xml:space="preserve">Other properties </t>
  </si>
  <si>
    <t>Accumulated depreciation</t>
  </si>
  <si>
    <t>SUPPLIES STOCK ACCOUNT</t>
  </si>
  <si>
    <t>OTHER NON-FINANCIAL ASSETS</t>
  </si>
  <si>
    <r>
      <t xml:space="preserve">INTANGIBLE  ASSET(Net) </t>
    </r>
    <r>
      <rPr>
        <sz val="9"/>
        <color theme="1"/>
        <rFont val="Calibri"/>
        <family val="2"/>
      </rPr>
      <t>[(11.1+11.2)-(11.3)]</t>
    </r>
  </si>
  <si>
    <t>Software</t>
  </si>
  <si>
    <t>Accumulated Amortization</t>
  </si>
  <si>
    <t>TOTAL ASSETS (1+7)</t>
  </si>
  <si>
    <t xml:space="preserve">LIABILITIES &amp; CAPITAL </t>
  </si>
  <si>
    <t>LIABILITIES (sum 14-20)</t>
  </si>
  <si>
    <t>TOTAL DEPOSITS (sum 14.1-14.3)</t>
  </si>
  <si>
    <t>Demand/current deposits (sum 14.1.1-14.1.14)</t>
  </si>
  <si>
    <t>14.1.1</t>
  </si>
  <si>
    <t>Federal  government</t>
  </si>
  <si>
    <t>14.1.2</t>
  </si>
  <si>
    <t>14.1.3</t>
  </si>
  <si>
    <t>Public enterprises</t>
  </si>
  <si>
    <t>14.1.4</t>
  </si>
  <si>
    <t>Domestic banks</t>
  </si>
  <si>
    <t>14.1.5</t>
  </si>
  <si>
    <t>Non-bank financial institutuions</t>
  </si>
  <si>
    <t>14.1.6</t>
  </si>
  <si>
    <t xml:space="preserve"> Pension fund</t>
  </si>
  <si>
    <t>14.1.7</t>
  </si>
  <si>
    <t xml:space="preserve"> Cooperatives &amp; associations</t>
  </si>
  <si>
    <t>14.1.8</t>
  </si>
  <si>
    <t xml:space="preserve"> Private   sector</t>
  </si>
  <si>
    <t>14.1.9</t>
  </si>
  <si>
    <t xml:space="preserve"> Foreign banks</t>
  </si>
  <si>
    <t>14.1.10</t>
  </si>
  <si>
    <t xml:space="preserve"> N/R - foreign currency account</t>
  </si>
  <si>
    <t>14.1.11</t>
  </si>
  <si>
    <t>N/R - transferable birr account</t>
  </si>
  <si>
    <t>14.1.12</t>
  </si>
  <si>
    <t>N/ R - non-transferable birr a/c</t>
  </si>
  <si>
    <t>14.1.13</t>
  </si>
  <si>
    <t>Resident foreign currency  a/c</t>
  </si>
  <si>
    <t>14.1.14</t>
  </si>
  <si>
    <t>FCY retention a/c "A" &amp; "B"</t>
  </si>
  <si>
    <t>Savings deposits (sum 14.2.1-14.2.7)</t>
  </si>
  <si>
    <t>14.2.1</t>
  </si>
  <si>
    <t>Government</t>
  </si>
  <si>
    <t>14.2.2</t>
  </si>
  <si>
    <t>14.2.3</t>
  </si>
  <si>
    <t>14.2.4</t>
  </si>
  <si>
    <t xml:space="preserve">Non-bank financial institutions </t>
  </si>
  <si>
    <t>14.2.5</t>
  </si>
  <si>
    <t>14.2.6</t>
  </si>
  <si>
    <t>Cooperatives &amp; associations</t>
  </si>
  <si>
    <t>14.2.7</t>
  </si>
  <si>
    <t xml:space="preserve"> Private sector</t>
  </si>
  <si>
    <t>Time/fixed (sum 14.3.1-14.3.7)</t>
  </si>
  <si>
    <t>14.3.1</t>
  </si>
  <si>
    <t>14.3.2</t>
  </si>
  <si>
    <t>14.3.3</t>
  </si>
  <si>
    <t>14.3.4</t>
  </si>
  <si>
    <t>14.3.5</t>
  </si>
  <si>
    <t>Pension fund</t>
  </si>
  <si>
    <t>14.3.6</t>
  </si>
  <si>
    <t>14.3.7</t>
  </si>
  <si>
    <t>Private  sector</t>
  </si>
  <si>
    <t>BORROWINGS (15.1+15.2)</t>
  </si>
  <si>
    <t>Local (sum 15.1.1-15.1.3)</t>
  </si>
  <si>
    <t>15.1.1</t>
  </si>
  <si>
    <t xml:space="preserve"> Short term (sum 15.1.1.1-15.1.1.3)</t>
  </si>
  <si>
    <t>15.1.1.1</t>
  </si>
  <si>
    <t>15.1.1.2</t>
  </si>
  <si>
    <t>Banks</t>
  </si>
  <si>
    <t>15.1.1.3</t>
  </si>
  <si>
    <t>Non bank</t>
  </si>
  <si>
    <t>15.1.2</t>
  </si>
  <si>
    <t>Medium term (sum 15.1.2.1-15.1.2.3)</t>
  </si>
  <si>
    <t>15.1.2.1</t>
  </si>
  <si>
    <t>15.1.2.2</t>
  </si>
  <si>
    <t>15.1.2.3</t>
  </si>
  <si>
    <t>15.1.3</t>
  </si>
  <si>
    <t>Long term (sum 15.1.3.1-15.1.3.3)</t>
  </si>
  <si>
    <t>15.1.3.1</t>
  </si>
  <si>
    <t xml:space="preserve"> NBE</t>
  </si>
  <si>
    <t>15.1.3.2</t>
  </si>
  <si>
    <t>15.1.3.3</t>
  </si>
  <si>
    <t xml:space="preserve"> Non bank</t>
  </si>
  <si>
    <t>Foreign borrowings(sum 15.2.1-15.2.3)</t>
  </si>
  <si>
    <t>15.2.1</t>
  </si>
  <si>
    <t>Short term</t>
  </si>
  <si>
    <t>15.2.2</t>
  </si>
  <si>
    <t>Medium term</t>
  </si>
  <si>
    <t>15.2.3</t>
  </si>
  <si>
    <t xml:space="preserve"> Long term</t>
  </si>
  <si>
    <t xml:space="preserve">DEBT SECURITIES ISSUED </t>
  </si>
  <si>
    <t>State dividend payable</t>
  </si>
  <si>
    <t>SUNDRY CREDITORS</t>
  </si>
  <si>
    <t>Provision for taxation &amp; other</t>
  </si>
  <si>
    <t>OTHER ACCOUNTS (sum 20.1-20.3)</t>
  </si>
  <si>
    <t xml:space="preserve">L/C margin held </t>
  </si>
  <si>
    <t xml:space="preserve">Bank’s liabilities for L/C &amp; acceptances as per  contra </t>
  </si>
  <si>
    <t>CAPITAL &amp; RESER. A/C (sum 21.1-21.5)</t>
  </si>
  <si>
    <t>Paid up capital</t>
  </si>
  <si>
    <t>Shares premium</t>
  </si>
  <si>
    <t>Legal reserves</t>
  </si>
  <si>
    <t>General reserves</t>
  </si>
  <si>
    <t>Retained Earnings</t>
  </si>
  <si>
    <t xml:space="preserve"> Provisional profit/loss A/C </t>
  </si>
  <si>
    <t>Net Worth (21+21.6)</t>
  </si>
  <si>
    <t>TOTAL LIABILITIES AND NET WORTH (=13+22)</t>
  </si>
  <si>
    <r>
      <t xml:space="preserve">Field/cells highlighted by </t>
    </r>
    <r>
      <rPr>
        <b/>
        <sz val="12"/>
        <color rgb="FFFF0000"/>
        <rFont val="Times New Roman"/>
        <family val="1"/>
      </rPr>
      <t>"Yellow"</t>
    </r>
    <r>
      <rPr>
        <b/>
        <sz val="12"/>
        <color theme="1"/>
        <rFont val="Times New Roman"/>
        <family val="1"/>
      </rPr>
      <t xml:space="preserve"> Must be filled to accept the report as approved by the NBE otherwise entail penalty in line with SBB/35/2004 Directive </t>
    </r>
  </si>
  <si>
    <t xml:space="preserve">Monthy Balance Sheet </t>
  </si>
  <si>
    <t>MB001MB001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</si>
</sst>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7030A0"/>
      </right>
      <top/>
      <bottom style="thin">
        <color indexed="64"/>
      </bottom>
      <diagonal/>
    </border>
    <border>
      <left style="thick">
        <color rgb="FF7030A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7030A0"/>
      </right>
      <top style="thin">
        <color indexed="64"/>
      </top>
      <bottom style="thin">
        <color indexed="64"/>
      </bottom>
      <diagonal/>
    </border>
    <border>
      <left style="thick">
        <color rgb="FF7030A0"/>
      </left>
      <right/>
      <top style="thin">
        <color indexed="64"/>
      </top>
      <bottom style="thick">
        <color rgb="FF7030A0"/>
      </bottom>
      <diagonal/>
    </border>
    <border>
      <left/>
      <right style="thin">
        <color indexed="64"/>
      </right>
      <top style="thin">
        <color indexed="64"/>
      </top>
      <bottom style="thick">
        <color rgb="FF7030A0"/>
      </bottom>
      <diagonal/>
    </border>
    <border>
      <left style="thin">
        <color indexed="64"/>
      </left>
      <right style="thick">
        <color rgb="FF7030A0"/>
      </right>
      <top style="thin">
        <color indexed="64"/>
      </top>
      <bottom style="thick">
        <color rgb="FF7030A0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 style="thin">
        <color indexed="64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n">
        <color indexed="64"/>
      </bottom>
      <diagonal/>
    </border>
    <border>
      <left/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 style="thick">
        <color rgb="FF00B050"/>
      </left>
      <right style="thick">
        <color rgb="FF00B05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 style="thin">
        <color indexed="64"/>
      </top>
      <bottom/>
      <diagonal/>
    </border>
    <border>
      <left style="thick">
        <color rgb="FFFF0000"/>
      </left>
      <right/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/>
      <right style="thick">
        <color rgb="FFFF0000"/>
      </right>
      <top style="thin">
        <color indexed="64"/>
      </top>
      <bottom/>
      <diagonal/>
    </border>
    <border>
      <left style="thick">
        <color rgb="FFFF0000"/>
      </left>
      <right/>
      <top style="thin">
        <color indexed="64"/>
      </top>
      <bottom style="thick">
        <color rgb="FFFF0000"/>
      </bottom>
      <diagonal/>
    </border>
    <border>
      <left style="thick">
        <color rgb="FF00B050"/>
      </left>
      <right style="thick">
        <color rgb="FF00B050"/>
      </right>
      <top style="thin">
        <color indexed="64"/>
      </top>
      <bottom style="thick">
        <color rgb="FF00B05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left"/>
    </xf>
    <xf numFmtId="49" fontId="0" fillId="3" borderId="11" xfId="0" applyNumberFormat="1" applyFill="1" applyBorder="1" applyAlignment="1" applyProtection="1">
      <alignment horizontal="right" wrapText="1"/>
      <protection locked="0"/>
    </xf>
    <xf numFmtId="164" fontId="0" fillId="3" borderId="11" xfId="0" applyNumberFormat="1" applyFill="1" applyBorder="1" applyAlignment="1" applyProtection="1">
      <alignment horizontal="right" wrapText="1"/>
      <protection locked="0"/>
    </xf>
    <xf numFmtId="164" fontId="0" fillId="3" borderId="14" xfId="0" applyNumberFormat="1" applyFill="1" applyBorder="1" applyAlignment="1" applyProtection="1">
      <alignment horizontal="right" wrapText="1"/>
      <protection locked="0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0" xfId="0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4" borderId="0" xfId="0" applyFont="1" applyFill="1" applyBorder="1" applyAlignment="1">
      <alignment horizontal="right"/>
    </xf>
    <xf numFmtId="0" fontId="1" fillId="0" borderId="18" xfId="0" applyFont="1" applyBorder="1" applyAlignment="1">
      <alignment horizontal="right"/>
    </xf>
    <xf numFmtId="0" fontId="6" fillId="0" borderId="19" xfId="0" applyFont="1" applyBorder="1" applyAlignment="1">
      <alignment horizontal="left" vertical="top" wrapText="1"/>
    </xf>
    <xf numFmtId="39" fontId="0" fillId="0" borderId="20" xfId="0" applyNumberFormat="1" applyBorder="1" applyAlignment="1" applyProtection="1">
      <alignment horizontal="right" wrapText="1"/>
      <protection locked="0"/>
    </xf>
    <xf numFmtId="0" fontId="7" fillId="0" borderId="19" xfId="0" applyFont="1" applyBorder="1" applyAlignment="1">
      <alignment horizontal="left" vertical="top" wrapText="1"/>
    </xf>
    <xf numFmtId="39" fontId="0" fillId="0" borderId="20" xfId="0" applyNumberFormat="1" applyBorder="1" applyAlignment="1">
      <alignment horizontal="right" wrapText="1"/>
    </xf>
    <xf numFmtId="0" fontId="0" fillId="0" borderId="0" xfId="0" applyBorder="1"/>
    <xf numFmtId="0" fontId="7" fillId="0" borderId="21" xfId="0" applyFont="1" applyBorder="1"/>
    <xf numFmtId="0" fontId="7" fillId="0" borderId="22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justify" vertical="top" wrapText="1"/>
    </xf>
    <xf numFmtId="0" fontId="0" fillId="0" borderId="0" xfId="0" applyFill="1" applyBorder="1"/>
    <xf numFmtId="39" fontId="0" fillId="0" borderId="20" xfId="0" applyNumberFormat="1" applyBorder="1" applyAlignment="1">
      <alignment horizontal="right"/>
    </xf>
    <xf numFmtId="39" fontId="0" fillId="0" borderId="20" xfId="0" applyNumberFormat="1" applyBorder="1" applyAlignment="1" applyProtection="1">
      <alignment horizontal="right"/>
      <protection locked="0"/>
    </xf>
    <xf numFmtId="0" fontId="7" fillId="0" borderId="23" xfId="0" applyFont="1" applyBorder="1" applyAlignment="1">
      <alignment horizontal="left" vertical="top" wrapText="1"/>
    </xf>
    <xf numFmtId="0" fontId="7" fillId="5" borderId="19" xfId="0" applyFont="1" applyFill="1" applyBorder="1" applyAlignment="1">
      <alignment horizontal="left" vertical="top" wrapText="1"/>
    </xf>
    <xf numFmtId="0" fontId="7" fillId="0" borderId="21" xfId="0" applyFont="1" applyFill="1" applyBorder="1" applyAlignment="1">
      <alignment horizontal="left" vertical="top" wrapText="1"/>
    </xf>
    <xf numFmtId="0" fontId="0" fillId="0" borderId="24" xfId="0" applyBorder="1" applyAlignment="1">
      <alignment horizontal="right"/>
    </xf>
    <xf numFmtId="0" fontId="1" fillId="0" borderId="25" xfId="0" applyFont="1" applyBorder="1" applyAlignment="1">
      <alignment horizontal="right"/>
    </xf>
    <xf numFmtId="0" fontId="6" fillId="0" borderId="26" xfId="0" applyFont="1" applyBorder="1" applyAlignment="1">
      <alignment horizontal="left" vertical="top" wrapText="1"/>
    </xf>
    <xf numFmtId="39" fontId="0" fillId="0" borderId="27" xfId="0" applyNumberFormat="1" applyBorder="1" applyAlignment="1">
      <alignment horizontal="right"/>
    </xf>
    <xf numFmtId="0" fontId="10" fillId="0" borderId="0" xfId="0" applyFont="1"/>
    <xf numFmtId="0" fontId="1" fillId="4" borderId="18" xfId="0" applyFont="1" applyFill="1" applyBorder="1" applyAlignment="1">
      <alignment horizontal="right"/>
    </xf>
    <xf numFmtId="0" fontId="6" fillId="4" borderId="19" xfId="0" applyFont="1" applyFill="1" applyBorder="1" applyAlignment="1">
      <alignment horizontal="left" vertical="top" wrapText="1"/>
    </xf>
    <xf numFmtId="39" fontId="9" fillId="4" borderId="20" xfId="0" applyNumberFormat="1" applyFont="1" applyFill="1" applyBorder="1" applyAlignment="1" applyProtection="1">
      <alignment horizontal="right" wrapText="1"/>
      <protection locked="0"/>
    </xf>
    <xf numFmtId="0" fontId="5" fillId="0" borderId="15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4" fillId="3" borderId="12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8"/>
  <sheetViews>
    <sheetView tabSelected="1" zoomScale="90" zoomScaleNormal="90" workbookViewId="0">
      <selection activeCell="E189" sqref="E189"/>
    </sheetView>
  </sheetViews>
  <sheetFormatPr defaultRowHeight="15" x14ac:dyDescent="0.25"/>
  <cols>
    <col min="1" max="1" width="6.85546875" style="1" customWidth="1"/>
    <col min="2" max="2" width="53.85546875" customWidth="1"/>
    <col min="3" max="3" width="23" customWidth="1"/>
    <col min="6" max="6" width="8" customWidth="1"/>
  </cols>
  <sheetData>
    <row r="1" spans="1:3" x14ac:dyDescent="0.25">
      <c r="A1" t="s">
        <v>235</v>
      </c>
    </row>
    <row r="3" spans="1:3" ht="15.75" thickBot="1" x14ac:dyDescent="0.3"/>
    <row r="4" spans="1:3" ht="15.75" thickTop="1" x14ac:dyDescent="0.25">
      <c r="A4" s="39" t="s">
        <v>234</v>
      </c>
      <c r="B4" s="40"/>
      <c r="C4" s="41"/>
    </row>
    <row r="5" spans="1:3" x14ac:dyDescent="0.25">
      <c r="A5" s="42"/>
      <c r="B5" s="43"/>
      <c r="C5" s="44"/>
    </row>
    <row r="6" spans="1:3" x14ac:dyDescent="0.25">
      <c r="A6" s="42"/>
      <c r="B6" s="43"/>
      <c r="C6" s="44"/>
    </row>
    <row r="7" spans="1:3" x14ac:dyDescent="0.25">
      <c r="A7" s="45"/>
      <c r="B7" s="46"/>
      <c r="C7" s="47"/>
    </row>
    <row r="8" spans="1:3" x14ac:dyDescent="0.25">
      <c r="A8" s="48" t="s">
        <v>0</v>
      </c>
      <c r="B8" s="49"/>
      <c r="C8" s="2"/>
    </row>
    <row r="9" spans="1:3" x14ac:dyDescent="0.25">
      <c r="A9" s="48" t="s">
        <v>1</v>
      </c>
      <c r="B9" s="49"/>
      <c r="C9" s="2"/>
    </row>
    <row r="10" spans="1:3" x14ac:dyDescent="0.25">
      <c r="A10" s="48" t="s">
        <v>2</v>
      </c>
      <c r="B10" s="49"/>
      <c r="C10" s="3"/>
    </row>
    <row r="11" spans="1:3" ht="15.75" thickBot="1" x14ac:dyDescent="0.3">
      <c r="A11" s="50" t="s">
        <v>3</v>
      </c>
      <c r="B11" s="51"/>
      <c r="C11" s="4"/>
    </row>
    <row r="12" spans="1:3" ht="15.75" thickTop="1" x14ac:dyDescent="0.25">
      <c r="A12" s="5"/>
      <c r="B12" s="6"/>
    </row>
    <row r="13" spans="1:3" ht="15.75" thickBot="1" x14ac:dyDescent="0.3">
      <c r="A13" s="7"/>
      <c r="B13" s="8"/>
      <c r="C13" s="9" t="s">
        <v>4</v>
      </c>
    </row>
    <row r="14" spans="1:3" ht="15.75" thickTop="1" x14ac:dyDescent="0.25">
      <c r="A14" s="33" t="s">
        <v>5</v>
      </c>
      <c r="B14" s="35" t="s">
        <v>6</v>
      </c>
      <c r="C14" s="37" t="s">
        <v>7</v>
      </c>
    </row>
    <row r="15" spans="1:3" x14ac:dyDescent="0.25">
      <c r="A15" s="34"/>
      <c r="B15" s="36"/>
      <c r="C15" s="38"/>
    </row>
    <row r="16" spans="1:3" x14ac:dyDescent="0.25">
      <c r="A16" s="10"/>
      <c r="B16" s="11" t="s">
        <v>8</v>
      </c>
      <c r="C16" s="12"/>
    </row>
    <row r="17" spans="1:9" x14ac:dyDescent="0.25">
      <c r="A17" s="10">
        <v>1</v>
      </c>
      <c r="B17" s="13" t="s">
        <v>9</v>
      </c>
      <c r="C17" s="14">
        <f>C18+C21+C33+C55+C73</f>
        <v>0</v>
      </c>
    </row>
    <row r="18" spans="1:9" x14ac:dyDescent="0.25">
      <c r="A18" s="10">
        <v>2</v>
      </c>
      <c r="B18" s="13" t="s">
        <v>10</v>
      </c>
      <c r="C18" s="14">
        <f>C19+C20</f>
        <v>0</v>
      </c>
      <c r="H18" s="15"/>
      <c r="I18" s="15"/>
    </row>
    <row r="19" spans="1:9" x14ac:dyDescent="0.25">
      <c r="A19" s="10">
        <v>2.1</v>
      </c>
      <c r="B19" s="13" t="s">
        <v>11</v>
      </c>
      <c r="C19" s="12"/>
      <c r="G19" s="15"/>
      <c r="H19" s="15"/>
      <c r="I19" s="15"/>
    </row>
    <row r="20" spans="1:9" x14ac:dyDescent="0.25">
      <c r="A20" s="10">
        <v>2.2000000000000002</v>
      </c>
      <c r="B20" s="13" t="s">
        <v>12</v>
      </c>
      <c r="C20" s="12"/>
      <c r="G20" s="15"/>
      <c r="H20" s="15"/>
      <c r="I20" s="15"/>
    </row>
    <row r="21" spans="1:9" x14ac:dyDescent="0.25">
      <c r="A21" s="10">
        <v>3</v>
      </c>
      <c r="B21" s="13" t="s">
        <v>13</v>
      </c>
      <c r="C21" s="14">
        <f>C22+C27+C30</f>
        <v>0</v>
      </c>
      <c r="G21" s="15"/>
      <c r="H21" s="15"/>
      <c r="I21" s="15"/>
    </row>
    <row r="22" spans="1:9" x14ac:dyDescent="0.25">
      <c r="A22" s="10">
        <v>3.1</v>
      </c>
      <c r="B22" s="13" t="s">
        <v>14</v>
      </c>
      <c r="C22" s="14">
        <f>C23+C24+C25+C26</f>
        <v>0</v>
      </c>
      <c r="G22" s="15"/>
      <c r="H22" s="15"/>
      <c r="I22" s="15"/>
    </row>
    <row r="23" spans="1:9" x14ac:dyDescent="0.25">
      <c r="A23" s="10" t="s">
        <v>15</v>
      </c>
      <c r="B23" s="13" t="s">
        <v>16</v>
      </c>
      <c r="C23" s="12"/>
      <c r="G23" s="15"/>
      <c r="H23" s="15"/>
      <c r="I23" s="15"/>
    </row>
    <row r="24" spans="1:9" x14ac:dyDescent="0.25">
      <c r="A24" s="10" t="s">
        <v>17</v>
      </c>
      <c r="B24" s="13" t="s">
        <v>18</v>
      </c>
      <c r="C24" s="12"/>
      <c r="G24" s="15"/>
      <c r="H24" s="15"/>
      <c r="I24" s="15"/>
    </row>
    <row r="25" spans="1:9" x14ac:dyDescent="0.25">
      <c r="A25" s="10" t="s">
        <v>19</v>
      </c>
      <c r="B25" s="13" t="s">
        <v>20</v>
      </c>
      <c r="C25" s="12"/>
      <c r="G25" s="15"/>
      <c r="H25" s="15"/>
      <c r="I25" s="15"/>
    </row>
    <row r="26" spans="1:9" x14ac:dyDescent="0.25">
      <c r="A26" s="10" t="s">
        <v>21</v>
      </c>
      <c r="B26" s="16" t="s">
        <v>22</v>
      </c>
      <c r="C26" s="12"/>
      <c r="G26" s="15"/>
      <c r="H26" s="15"/>
      <c r="I26" s="15"/>
    </row>
    <row r="27" spans="1:9" x14ac:dyDescent="0.25">
      <c r="A27" s="10">
        <v>3.2</v>
      </c>
      <c r="B27" s="13" t="s">
        <v>23</v>
      </c>
      <c r="C27" s="14">
        <f>C28+C29</f>
        <v>0</v>
      </c>
      <c r="G27" s="15"/>
      <c r="H27" s="15"/>
      <c r="I27" s="15"/>
    </row>
    <row r="28" spans="1:9" x14ac:dyDescent="0.25">
      <c r="A28" s="10" t="s">
        <v>24</v>
      </c>
      <c r="B28" s="13" t="s">
        <v>25</v>
      </c>
      <c r="C28" s="12"/>
      <c r="G28" s="15"/>
      <c r="H28" s="15"/>
      <c r="I28" s="15"/>
    </row>
    <row r="29" spans="1:9" x14ac:dyDescent="0.25">
      <c r="A29" s="10" t="s">
        <v>26</v>
      </c>
      <c r="B29" s="13" t="s">
        <v>27</v>
      </c>
      <c r="C29" s="12"/>
      <c r="G29" s="15"/>
      <c r="H29" s="15"/>
      <c r="I29" s="15"/>
    </row>
    <row r="30" spans="1:9" ht="14.25" customHeight="1" x14ac:dyDescent="0.25">
      <c r="A30" s="10">
        <v>3.3</v>
      </c>
      <c r="B30" s="13" t="s">
        <v>28</v>
      </c>
      <c r="C30" s="14">
        <f>C31+C32</f>
        <v>0</v>
      </c>
      <c r="G30" s="15"/>
      <c r="H30" s="15"/>
      <c r="I30" s="15"/>
    </row>
    <row r="31" spans="1:9" x14ac:dyDescent="0.25">
      <c r="A31" s="10" t="s">
        <v>29</v>
      </c>
      <c r="B31" s="13" t="s">
        <v>25</v>
      </c>
      <c r="C31" s="12"/>
      <c r="G31" s="15"/>
      <c r="H31" s="15"/>
      <c r="I31" s="15"/>
    </row>
    <row r="32" spans="1:9" x14ac:dyDescent="0.25">
      <c r="A32" s="10" t="s">
        <v>30</v>
      </c>
      <c r="B32" s="17" t="s">
        <v>27</v>
      </c>
      <c r="C32" s="12"/>
      <c r="G32" s="15"/>
      <c r="H32" s="15"/>
      <c r="I32" s="15"/>
    </row>
    <row r="33" spans="1:9" x14ac:dyDescent="0.25">
      <c r="A33" s="10">
        <v>4</v>
      </c>
      <c r="B33" s="18" t="s">
        <v>31</v>
      </c>
      <c r="C33" s="14">
        <f>C34+C38</f>
        <v>0</v>
      </c>
      <c r="G33" s="15"/>
      <c r="H33" s="15"/>
      <c r="I33" s="15"/>
    </row>
    <row r="34" spans="1:9" x14ac:dyDescent="0.25">
      <c r="A34" s="10">
        <v>4.0999999999999996</v>
      </c>
      <c r="B34" s="18" t="s">
        <v>32</v>
      </c>
      <c r="C34" s="14">
        <f>C35+C36+C37</f>
        <v>0</v>
      </c>
      <c r="G34" s="15"/>
      <c r="H34" s="15"/>
      <c r="I34" s="15"/>
    </row>
    <row r="35" spans="1:9" x14ac:dyDescent="0.25">
      <c r="A35" s="10" t="s">
        <v>33</v>
      </c>
      <c r="B35" s="18" t="s">
        <v>34</v>
      </c>
      <c r="C35" s="12"/>
      <c r="G35" s="15"/>
      <c r="H35" s="15"/>
      <c r="I35" s="15"/>
    </row>
    <row r="36" spans="1:9" x14ac:dyDescent="0.25">
      <c r="A36" s="10" t="s">
        <v>35</v>
      </c>
      <c r="B36" s="18" t="s">
        <v>36</v>
      </c>
      <c r="C36" s="12"/>
      <c r="G36" s="15"/>
      <c r="H36" s="15"/>
      <c r="I36" s="15"/>
    </row>
    <row r="37" spans="1:9" x14ac:dyDescent="0.25">
      <c r="A37" s="10" t="s">
        <v>37</v>
      </c>
      <c r="B37" s="18" t="s">
        <v>38</v>
      </c>
      <c r="C37" s="12"/>
      <c r="G37" s="15"/>
      <c r="H37" s="15"/>
      <c r="I37" s="15"/>
    </row>
    <row r="38" spans="1:9" x14ac:dyDescent="0.25">
      <c r="A38" s="10">
        <v>4.2</v>
      </c>
      <c r="B38" s="18" t="s">
        <v>39</v>
      </c>
      <c r="C38" s="14">
        <f>C39+C48</f>
        <v>0</v>
      </c>
      <c r="G38" s="15"/>
      <c r="H38" s="15"/>
      <c r="I38" s="15"/>
    </row>
    <row r="39" spans="1:9" x14ac:dyDescent="0.25">
      <c r="A39" s="10" t="s">
        <v>40</v>
      </c>
      <c r="B39" s="18" t="s">
        <v>41</v>
      </c>
      <c r="C39" s="14">
        <f>C40+C41+C42+C46+C47</f>
        <v>0</v>
      </c>
      <c r="G39" s="15"/>
      <c r="H39" s="15"/>
      <c r="I39" s="15"/>
    </row>
    <row r="40" spans="1:9" x14ac:dyDescent="0.25">
      <c r="A40" s="10" t="s">
        <v>42</v>
      </c>
      <c r="B40" s="18" t="s">
        <v>43</v>
      </c>
      <c r="C40" s="12"/>
      <c r="G40" s="15"/>
      <c r="H40" s="15"/>
      <c r="I40" s="15"/>
    </row>
    <row r="41" spans="1:9" x14ac:dyDescent="0.25">
      <c r="A41" s="10" t="s">
        <v>44</v>
      </c>
      <c r="B41" s="18" t="s">
        <v>45</v>
      </c>
      <c r="C41" s="12"/>
      <c r="G41" s="15"/>
      <c r="H41" s="15"/>
      <c r="I41" s="15"/>
    </row>
    <row r="42" spans="1:9" x14ac:dyDescent="0.25">
      <c r="A42" s="10" t="s">
        <v>46</v>
      </c>
      <c r="B42" s="18" t="s">
        <v>47</v>
      </c>
      <c r="C42" s="14">
        <f>C43+C44+C45</f>
        <v>0</v>
      </c>
      <c r="G42" s="15"/>
      <c r="H42" s="15"/>
      <c r="I42" s="15"/>
    </row>
    <row r="43" spans="1:9" x14ac:dyDescent="0.25">
      <c r="A43" s="10" t="s">
        <v>48</v>
      </c>
      <c r="B43" s="18" t="s">
        <v>49</v>
      </c>
      <c r="C43" s="12"/>
      <c r="G43" s="15"/>
      <c r="H43" s="15"/>
      <c r="I43" s="15"/>
    </row>
    <row r="44" spans="1:9" x14ac:dyDescent="0.25">
      <c r="A44" s="10" t="s">
        <v>50</v>
      </c>
      <c r="B44" s="18" t="s">
        <v>51</v>
      </c>
      <c r="C44" s="12"/>
      <c r="G44" s="15"/>
      <c r="H44" s="15"/>
      <c r="I44" s="15"/>
    </row>
    <row r="45" spans="1:9" x14ac:dyDescent="0.25">
      <c r="A45" s="10" t="s">
        <v>52</v>
      </c>
      <c r="B45" s="18" t="s">
        <v>53</v>
      </c>
      <c r="C45" s="12"/>
      <c r="G45" s="15"/>
      <c r="H45" s="15"/>
      <c r="I45" s="15"/>
    </row>
    <row r="46" spans="1:9" x14ac:dyDescent="0.25">
      <c r="A46" s="10" t="s">
        <v>54</v>
      </c>
      <c r="B46" s="18" t="s">
        <v>55</v>
      </c>
      <c r="C46" s="12"/>
      <c r="G46" s="15"/>
      <c r="H46" s="15"/>
      <c r="I46" s="15"/>
    </row>
    <row r="47" spans="1:9" x14ac:dyDescent="0.25">
      <c r="A47" s="10" t="s">
        <v>56</v>
      </c>
      <c r="B47" s="18" t="s">
        <v>57</v>
      </c>
      <c r="C47" s="12"/>
      <c r="G47" s="15"/>
      <c r="H47" s="15"/>
      <c r="I47" s="15"/>
    </row>
    <row r="48" spans="1:9" ht="13.5" customHeight="1" x14ac:dyDescent="0.25">
      <c r="A48" s="10" t="s">
        <v>58</v>
      </c>
      <c r="B48" s="18" t="s">
        <v>59</v>
      </c>
      <c r="C48" s="14">
        <f>C49+C54</f>
        <v>0</v>
      </c>
      <c r="G48" s="15"/>
      <c r="H48" s="15"/>
      <c r="I48" s="15"/>
    </row>
    <row r="49" spans="1:9" x14ac:dyDescent="0.25">
      <c r="A49" s="10" t="s">
        <v>60</v>
      </c>
      <c r="B49" s="18" t="s">
        <v>61</v>
      </c>
      <c r="C49" s="14">
        <f>C50+C51+C52+C53</f>
        <v>0</v>
      </c>
      <c r="G49" s="15"/>
      <c r="H49" s="15"/>
      <c r="I49" s="15"/>
    </row>
    <row r="50" spans="1:9" x14ac:dyDescent="0.25">
      <c r="A50" s="10" t="s">
        <v>62</v>
      </c>
      <c r="B50" s="18" t="s">
        <v>63</v>
      </c>
      <c r="C50" s="12"/>
      <c r="G50" s="15"/>
      <c r="H50" s="15"/>
      <c r="I50" s="15"/>
    </row>
    <row r="51" spans="1:9" x14ac:dyDescent="0.25">
      <c r="A51" s="10" t="s">
        <v>64</v>
      </c>
      <c r="B51" s="13" t="s">
        <v>65</v>
      </c>
      <c r="C51" s="12"/>
      <c r="G51" s="15"/>
      <c r="H51" s="15"/>
      <c r="I51" s="15"/>
    </row>
    <row r="52" spans="1:9" x14ac:dyDescent="0.25">
      <c r="A52" s="10" t="s">
        <v>66</v>
      </c>
      <c r="B52" s="13" t="s">
        <v>67</v>
      </c>
      <c r="C52" s="12"/>
      <c r="G52" s="15"/>
      <c r="H52" s="15"/>
      <c r="I52" s="15"/>
    </row>
    <row r="53" spans="1:9" x14ac:dyDescent="0.25">
      <c r="A53" s="10" t="s">
        <v>68</v>
      </c>
      <c r="B53" s="13" t="s">
        <v>69</v>
      </c>
      <c r="C53" s="12"/>
      <c r="G53" s="15"/>
      <c r="H53" s="15"/>
      <c r="I53" s="15"/>
    </row>
    <row r="54" spans="1:9" x14ac:dyDescent="0.25">
      <c r="A54" s="10" t="s">
        <v>70</v>
      </c>
      <c r="B54" s="13" t="s">
        <v>71</v>
      </c>
      <c r="C54" s="12"/>
      <c r="G54" s="15"/>
      <c r="H54" s="15"/>
      <c r="I54" s="15"/>
    </row>
    <row r="55" spans="1:9" ht="15" customHeight="1" x14ac:dyDescent="0.25">
      <c r="A55" s="10">
        <v>5</v>
      </c>
      <c r="B55" s="13" t="s">
        <v>72</v>
      </c>
      <c r="C55" s="14">
        <f>C56-C70</f>
        <v>0</v>
      </c>
      <c r="G55" s="15"/>
      <c r="H55" s="15"/>
      <c r="I55" s="15"/>
    </row>
    <row r="56" spans="1:9" x14ac:dyDescent="0.25">
      <c r="A56" s="10">
        <v>5.0999999999999996</v>
      </c>
      <c r="B56" s="13" t="s">
        <v>73</v>
      </c>
      <c r="C56" s="14">
        <f>C57+C60+C69</f>
        <v>0</v>
      </c>
      <c r="G56" s="15"/>
      <c r="H56" s="15"/>
      <c r="I56" s="15"/>
    </row>
    <row r="57" spans="1:9" x14ac:dyDescent="0.25">
      <c r="A57" s="10" t="s">
        <v>74</v>
      </c>
      <c r="B57" s="13" t="s">
        <v>75</v>
      </c>
      <c r="C57" s="14">
        <f>C58+C59</f>
        <v>0</v>
      </c>
      <c r="G57" s="15"/>
      <c r="H57" s="15"/>
      <c r="I57" s="15"/>
    </row>
    <row r="58" spans="1:9" x14ac:dyDescent="0.25">
      <c r="A58" s="10" t="s">
        <v>76</v>
      </c>
      <c r="B58" s="13" t="s">
        <v>77</v>
      </c>
      <c r="C58" s="12"/>
      <c r="G58" s="15"/>
      <c r="H58" s="15"/>
      <c r="I58" s="15"/>
    </row>
    <row r="59" spans="1:9" x14ac:dyDescent="0.25">
      <c r="A59" s="10" t="s">
        <v>78</v>
      </c>
      <c r="B59" s="13" t="s">
        <v>79</v>
      </c>
      <c r="C59" s="12"/>
      <c r="G59" s="15"/>
      <c r="H59" s="15"/>
      <c r="I59" s="15"/>
    </row>
    <row r="60" spans="1:9" x14ac:dyDescent="0.25">
      <c r="A60" s="10" t="s">
        <v>80</v>
      </c>
      <c r="B60" s="13" t="s">
        <v>81</v>
      </c>
      <c r="C60" s="14">
        <f>SUM(C61:C68)</f>
        <v>0</v>
      </c>
      <c r="G60" s="15"/>
      <c r="H60" s="15"/>
      <c r="I60" s="15"/>
    </row>
    <row r="61" spans="1:9" x14ac:dyDescent="0.25">
      <c r="A61" s="10" t="s">
        <v>82</v>
      </c>
      <c r="B61" s="13" t="s">
        <v>83</v>
      </c>
      <c r="C61" s="12"/>
      <c r="G61" s="15"/>
      <c r="H61" s="19"/>
      <c r="I61" s="15"/>
    </row>
    <row r="62" spans="1:9" x14ac:dyDescent="0.25">
      <c r="A62" s="10" t="s">
        <v>84</v>
      </c>
      <c r="B62" s="13" t="s">
        <v>49</v>
      </c>
      <c r="C62" s="12"/>
      <c r="G62" s="15"/>
      <c r="H62" s="15"/>
      <c r="I62" s="15"/>
    </row>
    <row r="63" spans="1:9" x14ac:dyDescent="0.25">
      <c r="A63" s="10" t="s">
        <v>85</v>
      </c>
      <c r="B63" s="13" t="s">
        <v>51</v>
      </c>
      <c r="C63" s="12"/>
      <c r="G63" s="15"/>
      <c r="H63" s="15"/>
      <c r="I63" s="15"/>
    </row>
    <row r="64" spans="1:9" x14ac:dyDescent="0.25">
      <c r="A64" s="10" t="s">
        <v>86</v>
      </c>
      <c r="B64" s="13" t="s">
        <v>87</v>
      </c>
      <c r="C64" s="12"/>
      <c r="G64" s="15"/>
      <c r="H64" s="15"/>
      <c r="I64" s="15"/>
    </row>
    <row r="65" spans="1:9" x14ac:dyDescent="0.25">
      <c r="A65" s="10" t="s">
        <v>88</v>
      </c>
      <c r="B65" s="13" t="s">
        <v>89</v>
      </c>
      <c r="C65" s="12"/>
      <c r="G65" s="15"/>
      <c r="H65" s="15"/>
      <c r="I65" s="15"/>
    </row>
    <row r="66" spans="1:9" x14ac:dyDescent="0.25">
      <c r="A66" s="10" t="s">
        <v>90</v>
      </c>
      <c r="B66" s="13" t="s">
        <v>91</v>
      </c>
      <c r="C66" s="12"/>
      <c r="G66" s="15"/>
      <c r="H66" s="15"/>
      <c r="I66" s="15"/>
    </row>
    <row r="67" spans="1:9" x14ac:dyDescent="0.25">
      <c r="A67" s="10" t="s">
        <v>92</v>
      </c>
      <c r="B67" s="13" t="s">
        <v>93</v>
      </c>
      <c r="C67" s="12"/>
      <c r="G67" s="15"/>
      <c r="H67" s="15"/>
      <c r="I67" s="15"/>
    </row>
    <row r="68" spans="1:9" x14ac:dyDescent="0.25">
      <c r="A68" s="10" t="s">
        <v>94</v>
      </c>
      <c r="B68" s="13" t="s">
        <v>95</v>
      </c>
      <c r="C68" s="12"/>
      <c r="G68" s="15"/>
      <c r="H68" s="15"/>
      <c r="I68" s="15"/>
    </row>
    <row r="69" spans="1:9" x14ac:dyDescent="0.25">
      <c r="A69" s="10" t="s">
        <v>96</v>
      </c>
      <c r="B69" s="13" t="s">
        <v>97</v>
      </c>
      <c r="C69" s="12"/>
      <c r="G69" s="15"/>
      <c r="H69" s="15"/>
      <c r="I69" s="15"/>
    </row>
    <row r="70" spans="1:9" x14ac:dyDescent="0.25">
      <c r="A70" s="10">
        <v>5.2</v>
      </c>
      <c r="B70" s="13" t="s">
        <v>98</v>
      </c>
      <c r="C70" s="14">
        <f>C71+C72</f>
        <v>0</v>
      </c>
      <c r="G70" s="15"/>
      <c r="H70" s="15"/>
      <c r="I70" s="15"/>
    </row>
    <row r="71" spans="1:9" ht="15.75" x14ac:dyDescent="0.25">
      <c r="A71" s="30" t="s">
        <v>99</v>
      </c>
      <c r="B71" s="31" t="s">
        <v>100</v>
      </c>
      <c r="C71" s="32"/>
      <c r="E71" s="29" t="s">
        <v>233</v>
      </c>
      <c r="G71" s="15"/>
      <c r="H71" s="15"/>
      <c r="I71" s="15"/>
    </row>
    <row r="72" spans="1:9" x14ac:dyDescent="0.25">
      <c r="A72" s="30" t="s">
        <v>101</v>
      </c>
      <c r="B72" s="31" t="s">
        <v>102</v>
      </c>
      <c r="C72" s="32"/>
      <c r="G72" s="15"/>
      <c r="H72" s="15"/>
      <c r="I72" s="15"/>
    </row>
    <row r="73" spans="1:9" x14ac:dyDescent="0.25">
      <c r="A73" s="10">
        <v>6</v>
      </c>
      <c r="B73" s="13" t="s">
        <v>103</v>
      </c>
      <c r="C73" s="14">
        <f>(C74+C75+C76+C79)-C82</f>
        <v>0</v>
      </c>
      <c r="G73" s="15"/>
      <c r="H73" s="15"/>
      <c r="I73" s="15"/>
    </row>
    <row r="74" spans="1:9" x14ac:dyDescent="0.25">
      <c r="A74" s="10">
        <v>6.1</v>
      </c>
      <c r="B74" s="13" t="s">
        <v>104</v>
      </c>
      <c r="C74" s="12"/>
      <c r="G74" s="15"/>
      <c r="H74" s="15"/>
      <c r="I74" s="15"/>
    </row>
    <row r="75" spans="1:9" x14ac:dyDescent="0.25">
      <c r="A75" s="10">
        <v>6.2</v>
      </c>
      <c r="B75" s="13" t="s">
        <v>105</v>
      </c>
      <c r="C75" s="12"/>
      <c r="G75" s="15"/>
      <c r="H75" s="15"/>
      <c r="I75" s="15"/>
    </row>
    <row r="76" spans="1:9" x14ac:dyDescent="0.25">
      <c r="A76" s="10">
        <v>6.3</v>
      </c>
      <c r="B76" s="13" t="s">
        <v>106</v>
      </c>
      <c r="C76" s="14">
        <f>C77+C78</f>
        <v>0</v>
      </c>
      <c r="G76" s="15"/>
      <c r="H76" s="15"/>
      <c r="I76" s="15"/>
    </row>
    <row r="77" spans="1:9" x14ac:dyDescent="0.25">
      <c r="A77" s="10" t="s">
        <v>107</v>
      </c>
      <c r="B77" s="13" t="s">
        <v>108</v>
      </c>
      <c r="C77" s="12"/>
      <c r="G77" s="15"/>
      <c r="H77" s="15"/>
      <c r="I77" s="15"/>
    </row>
    <row r="78" spans="1:9" x14ac:dyDescent="0.25">
      <c r="A78" s="10" t="s">
        <v>109</v>
      </c>
      <c r="B78" s="13" t="s">
        <v>110</v>
      </c>
      <c r="C78" s="12"/>
      <c r="G78" s="15"/>
      <c r="H78" s="15"/>
      <c r="I78" s="15"/>
    </row>
    <row r="79" spans="1:9" x14ac:dyDescent="0.25">
      <c r="A79" s="10">
        <v>6.4</v>
      </c>
      <c r="B79" s="13" t="s">
        <v>111</v>
      </c>
      <c r="C79" s="14">
        <f>C80+C81</f>
        <v>0</v>
      </c>
      <c r="G79" s="15"/>
      <c r="H79" s="15"/>
      <c r="I79" s="15"/>
    </row>
    <row r="80" spans="1:9" ht="13.5" customHeight="1" x14ac:dyDescent="0.25">
      <c r="A80" s="10" t="s">
        <v>112</v>
      </c>
      <c r="B80" s="13" t="s">
        <v>113</v>
      </c>
      <c r="C80" s="12"/>
      <c r="G80" s="15"/>
      <c r="H80" s="15"/>
      <c r="I80" s="15"/>
    </row>
    <row r="81" spans="1:9" x14ac:dyDescent="0.25">
      <c r="A81" s="10" t="s">
        <v>114</v>
      </c>
      <c r="B81" s="13" t="s">
        <v>22</v>
      </c>
      <c r="C81" s="12"/>
      <c r="G81" s="15"/>
      <c r="H81" s="15"/>
      <c r="I81" s="15"/>
    </row>
    <row r="82" spans="1:9" x14ac:dyDescent="0.25">
      <c r="A82" s="10">
        <v>6.5</v>
      </c>
      <c r="B82" s="16" t="s">
        <v>115</v>
      </c>
      <c r="C82" s="12"/>
      <c r="G82" s="15"/>
      <c r="H82" s="15"/>
      <c r="I82" s="15"/>
    </row>
    <row r="83" spans="1:9" x14ac:dyDescent="0.25">
      <c r="A83" s="10">
        <v>7</v>
      </c>
      <c r="B83" s="13" t="s">
        <v>116</v>
      </c>
      <c r="C83" s="20">
        <f>C84+C92+C93+C94</f>
        <v>0</v>
      </c>
      <c r="G83" s="15"/>
      <c r="H83" s="15"/>
      <c r="I83" s="15"/>
    </row>
    <row r="84" spans="1:9" x14ac:dyDescent="0.25">
      <c r="A84" s="10">
        <v>8</v>
      </c>
      <c r="B84" s="13" t="s">
        <v>117</v>
      </c>
      <c r="C84" s="20">
        <f>C85-C91</f>
        <v>0</v>
      </c>
      <c r="G84" s="15"/>
      <c r="H84" s="15"/>
      <c r="I84" s="15"/>
    </row>
    <row r="85" spans="1:9" x14ac:dyDescent="0.25">
      <c r="A85" s="10">
        <v>8.1</v>
      </c>
      <c r="B85" s="17" t="s">
        <v>118</v>
      </c>
      <c r="C85" s="20">
        <f>SUM(C86:C90)</f>
        <v>0</v>
      </c>
      <c r="G85" s="15"/>
      <c r="H85" s="15"/>
      <c r="I85" s="15"/>
    </row>
    <row r="86" spans="1:9" x14ac:dyDescent="0.25">
      <c r="A86" s="10" t="s">
        <v>119</v>
      </c>
      <c r="B86" s="18" t="s">
        <v>120</v>
      </c>
      <c r="C86" s="21"/>
      <c r="G86" s="15"/>
      <c r="H86" s="15"/>
      <c r="I86" s="15"/>
    </row>
    <row r="87" spans="1:9" x14ac:dyDescent="0.25">
      <c r="A87" s="10" t="s">
        <v>121</v>
      </c>
      <c r="B87" s="18" t="s">
        <v>122</v>
      </c>
      <c r="C87" s="21"/>
      <c r="G87" s="15"/>
      <c r="H87" s="15"/>
      <c r="I87" s="15"/>
    </row>
    <row r="88" spans="1:9" x14ac:dyDescent="0.25">
      <c r="A88" s="10" t="s">
        <v>123</v>
      </c>
      <c r="B88" s="18" t="s">
        <v>124</v>
      </c>
      <c r="C88" s="21"/>
      <c r="G88" s="15"/>
      <c r="H88" s="15"/>
      <c r="I88" s="15"/>
    </row>
    <row r="89" spans="1:9" x14ac:dyDescent="0.25">
      <c r="A89" s="10" t="s">
        <v>125</v>
      </c>
      <c r="B89" s="18" t="s">
        <v>126</v>
      </c>
      <c r="C89" s="21"/>
      <c r="G89" s="15"/>
      <c r="H89" s="15"/>
      <c r="I89" s="15"/>
    </row>
    <row r="90" spans="1:9" x14ac:dyDescent="0.25">
      <c r="A90" s="10" t="s">
        <v>127</v>
      </c>
      <c r="B90" s="18" t="s">
        <v>128</v>
      </c>
      <c r="C90" s="21"/>
      <c r="G90" s="15"/>
      <c r="H90" s="15"/>
      <c r="I90" s="15"/>
    </row>
    <row r="91" spans="1:9" x14ac:dyDescent="0.25">
      <c r="A91" s="10">
        <v>8.1999999999999993</v>
      </c>
      <c r="B91" s="22" t="s">
        <v>129</v>
      </c>
      <c r="C91" s="21"/>
      <c r="G91" s="15"/>
      <c r="H91" s="15"/>
      <c r="I91" s="15"/>
    </row>
    <row r="92" spans="1:9" x14ac:dyDescent="0.25">
      <c r="A92" s="10">
        <v>9</v>
      </c>
      <c r="B92" s="13" t="s">
        <v>130</v>
      </c>
      <c r="C92" s="21"/>
      <c r="G92" s="15"/>
      <c r="H92" s="15"/>
      <c r="I92" s="15"/>
    </row>
    <row r="93" spans="1:9" x14ac:dyDescent="0.25">
      <c r="A93" s="10">
        <v>10</v>
      </c>
      <c r="B93" s="23" t="s">
        <v>131</v>
      </c>
      <c r="C93" s="21"/>
      <c r="G93" s="15"/>
      <c r="H93" s="15"/>
      <c r="I93" s="15"/>
    </row>
    <row r="94" spans="1:9" ht="12.75" customHeight="1" x14ac:dyDescent="0.25">
      <c r="A94" s="10">
        <v>11</v>
      </c>
      <c r="B94" s="13" t="s">
        <v>132</v>
      </c>
      <c r="C94" s="20">
        <f>(C95+C96)-C97</f>
        <v>0</v>
      </c>
      <c r="G94" s="15"/>
      <c r="H94" s="15"/>
      <c r="I94" s="15"/>
    </row>
    <row r="95" spans="1:9" x14ac:dyDescent="0.25">
      <c r="A95" s="10">
        <v>11.1</v>
      </c>
      <c r="B95" s="13" t="s">
        <v>133</v>
      </c>
      <c r="C95" s="21"/>
      <c r="G95" s="15"/>
      <c r="H95" s="15"/>
      <c r="I95" s="15"/>
    </row>
    <row r="96" spans="1:9" x14ac:dyDescent="0.25">
      <c r="A96" s="10">
        <v>11.2</v>
      </c>
      <c r="B96" s="13" t="s">
        <v>22</v>
      </c>
      <c r="C96" s="21"/>
      <c r="G96" s="15"/>
      <c r="H96" s="15"/>
      <c r="I96" s="15"/>
    </row>
    <row r="97" spans="1:9" x14ac:dyDescent="0.25">
      <c r="A97" s="10">
        <v>11.3</v>
      </c>
      <c r="B97" s="13" t="s">
        <v>134</v>
      </c>
      <c r="C97" s="21"/>
      <c r="G97" s="15"/>
      <c r="H97" s="15"/>
      <c r="I97" s="15"/>
    </row>
    <row r="98" spans="1:9" x14ac:dyDescent="0.25">
      <c r="A98" s="10">
        <v>12</v>
      </c>
      <c r="B98" s="11" t="s">
        <v>135</v>
      </c>
      <c r="C98" s="20">
        <f>C17+C83</f>
        <v>0</v>
      </c>
      <c r="G98" s="15"/>
      <c r="H98" s="15"/>
      <c r="I98" s="15"/>
    </row>
    <row r="99" spans="1:9" x14ac:dyDescent="0.25">
      <c r="A99" s="10"/>
      <c r="B99" s="11" t="s">
        <v>136</v>
      </c>
      <c r="C99" s="21"/>
    </row>
    <row r="100" spans="1:9" x14ac:dyDescent="0.25">
      <c r="A100" s="10">
        <v>13</v>
      </c>
      <c r="B100" s="13" t="s">
        <v>137</v>
      </c>
      <c r="C100" s="20">
        <f>C101+C133+C151+C152+C153+C154+C155</f>
        <v>0</v>
      </c>
    </row>
    <row r="101" spans="1:9" x14ac:dyDescent="0.25">
      <c r="A101" s="10">
        <v>14</v>
      </c>
      <c r="B101" s="13" t="s">
        <v>138</v>
      </c>
      <c r="C101" s="20">
        <f>C102+C117+C125</f>
        <v>0</v>
      </c>
    </row>
    <row r="102" spans="1:9" x14ac:dyDescent="0.25">
      <c r="A102" s="10">
        <v>14.1</v>
      </c>
      <c r="B102" s="13" t="s">
        <v>139</v>
      </c>
      <c r="C102" s="20">
        <f>SUM(C103:C116)</f>
        <v>0</v>
      </c>
    </row>
    <row r="103" spans="1:9" x14ac:dyDescent="0.25">
      <c r="A103" s="10" t="s">
        <v>140</v>
      </c>
      <c r="B103" s="13" t="s">
        <v>141</v>
      </c>
      <c r="C103" s="21"/>
    </row>
    <row r="104" spans="1:9" x14ac:dyDescent="0.25">
      <c r="A104" s="10" t="s">
        <v>142</v>
      </c>
      <c r="B104" s="13" t="s">
        <v>51</v>
      </c>
      <c r="C104" s="21"/>
    </row>
    <row r="105" spans="1:9" x14ac:dyDescent="0.25">
      <c r="A105" s="10" t="s">
        <v>143</v>
      </c>
      <c r="B105" s="13" t="s">
        <v>144</v>
      </c>
      <c r="C105" s="21"/>
    </row>
    <row r="106" spans="1:9" x14ac:dyDescent="0.25">
      <c r="A106" s="10" t="s">
        <v>145</v>
      </c>
      <c r="B106" s="13" t="s">
        <v>146</v>
      </c>
      <c r="C106" s="21"/>
    </row>
    <row r="107" spans="1:9" x14ac:dyDescent="0.25">
      <c r="A107" s="10" t="s">
        <v>147</v>
      </c>
      <c r="B107" s="13" t="s">
        <v>148</v>
      </c>
      <c r="C107" s="21"/>
    </row>
    <row r="108" spans="1:9" x14ac:dyDescent="0.25">
      <c r="A108" s="10" t="s">
        <v>149</v>
      </c>
      <c r="B108" s="13" t="s">
        <v>150</v>
      </c>
      <c r="C108" s="21"/>
    </row>
    <row r="109" spans="1:9" x14ac:dyDescent="0.25">
      <c r="A109" s="10" t="s">
        <v>151</v>
      </c>
      <c r="B109" s="13" t="s">
        <v>152</v>
      </c>
      <c r="C109" s="21"/>
    </row>
    <row r="110" spans="1:9" x14ac:dyDescent="0.25">
      <c r="A110" s="10" t="s">
        <v>153</v>
      </c>
      <c r="B110" s="13" t="s">
        <v>154</v>
      </c>
      <c r="C110" s="21"/>
    </row>
    <row r="111" spans="1:9" x14ac:dyDescent="0.25">
      <c r="A111" s="10" t="s">
        <v>155</v>
      </c>
      <c r="B111" s="13" t="s">
        <v>156</v>
      </c>
      <c r="C111" s="21"/>
    </row>
    <row r="112" spans="1:9" x14ac:dyDescent="0.25">
      <c r="A112" s="10" t="s">
        <v>157</v>
      </c>
      <c r="B112" s="13" t="s">
        <v>158</v>
      </c>
      <c r="C112" s="21"/>
    </row>
    <row r="113" spans="1:3" x14ac:dyDescent="0.25">
      <c r="A113" s="10" t="s">
        <v>159</v>
      </c>
      <c r="B113" s="13" t="s">
        <v>160</v>
      </c>
      <c r="C113" s="21"/>
    </row>
    <row r="114" spans="1:3" x14ac:dyDescent="0.25">
      <c r="A114" s="10" t="s">
        <v>161</v>
      </c>
      <c r="B114" s="13" t="s">
        <v>162</v>
      </c>
      <c r="C114" s="21"/>
    </row>
    <row r="115" spans="1:3" x14ac:dyDescent="0.25">
      <c r="A115" s="10" t="s">
        <v>163</v>
      </c>
      <c r="B115" s="13" t="s">
        <v>164</v>
      </c>
      <c r="C115" s="21"/>
    </row>
    <row r="116" spans="1:3" x14ac:dyDescent="0.25">
      <c r="A116" s="10" t="s">
        <v>165</v>
      </c>
      <c r="B116" s="13" t="s">
        <v>166</v>
      </c>
      <c r="C116" s="21"/>
    </row>
    <row r="117" spans="1:3" x14ac:dyDescent="0.25">
      <c r="A117" s="10">
        <v>14.2</v>
      </c>
      <c r="B117" s="13" t="s">
        <v>167</v>
      </c>
      <c r="C117" s="20">
        <f>SUM(C118:C124)</f>
        <v>0</v>
      </c>
    </row>
    <row r="118" spans="1:3" x14ac:dyDescent="0.25">
      <c r="A118" s="10" t="s">
        <v>168</v>
      </c>
      <c r="B118" s="13" t="s">
        <v>169</v>
      </c>
      <c r="C118" s="21"/>
    </row>
    <row r="119" spans="1:3" x14ac:dyDescent="0.25">
      <c r="A119" s="10" t="s">
        <v>170</v>
      </c>
      <c r="B119" s="13" t="s">
        <v>144</v>
      </c>
      <c r="C119" s="21"/>
    </row>
    <row r="120" spans="1:3" x14ac:dyDescent="0.25">
      <c r="A120" s="10" t="s">
        <v>171</v>
      </c>
      <c r="B120" s="13" t="s">
        <v>146</v>
      </c>
      <c r="C120" s="21"/>
    </row>
    <row r="121" spans="1:3" x14ac:dyDescent="0.25">
      <c r="A121" s="10" t="s">
        <v>172</v>
      </c>
      <c r="B121" s="13" t="s">
        <v>173</v>
      </c>
      <c r="C121" s="21"/>
    </row>
    <row r="122" spans="1:3" x14ac:dyDescent="0.25">
      <c r="A122" s="10" t="s">
        <v>174</v>
      </c>
      <c r="B122" s="13" t="s">
        <v>150</v>
      </c>
      <c r="C122" s="21"/>
    </row>
    <row r="123" spans="1:3" x14ac:dyDescent="0.25">
      <c r="A123" s="10" t="s">
        <v>175</v>
      </c>
      <c r="B123" s="13" t="s">
        <v>176</v>
      </c>
      <c r="C123" s="21"/>
    </row>
    <row r="124" spans="1:3" x14ac:dyDescent="0.25">
      <c r="A124" s="10" t="s">
        <v>177</v>
      </c>
      <c r="B124" s="13" t="s">
        <v>178</v>
      </c>
      <c r="C124" s="21"/>
    </row>
    <row r="125" spans="1:3" x14ac:dyDescent="0.25">
      <c r="A125" s="10">
        <v>14.3</v>
      </c>
      <c r="B125" s="13" t="s">
        <v>179</v>
      </c>
      <c r="C125" s="20">
        <f>SUM(C126:C132)</f>
        <v>0</v>
      </c>
    </row>
    <row r="126" spans="1:3" x14ac:dyDescent="0.25">
      <c r="A126" s="10" t="s">
        <v>180</v>
      </c>
      <c r="B126" s="13" t="s">
        <v>169</v>
      </c>
      <c r="C126" s="21"/>
    </row>
    <row r="127" spans="1:3" x14ac:dyDescent="0.25">
      <c r="A127" s="10" t="s">
        <v>181</v>
      </c>
      <c r="B127" s="13" t="s">
        <v>144</v>
      </c>
      <c r="C127" s="21"/>
    </row>
    <row r="128" spans="1:3" x14ac:dyDescent="0.25">
      <c r="A128" s="10" t="s">
        <v>182</v>
      </c>
      <c r="B128" s="13" t="s">
        <v>146</v>
      </c>
      <c r="C128" s="21"/>
    </row>
    <row r="129" spans="1:3" x14ac:dyDescent="0.25">
      <c r="A129" s="10" t="s">
        <v>183</v>
      </c>
      <c r="B129" s="13" t="s">
        <v>173</v>
      </c>
      <c r="C129" s="21"/>
    </row>
    <row r="130" spans="1:3" x14ac:dyDescent="0.25">
      <c r="A130" s="10" t="s">
        <v>184</v>
      </c>
      <c r="B130" s="13" t="s">
        <v>185</v>
      </c>
      <c r="C130" s="21"/>
    </row>
    <row r="131" spans="1:3" x14ac:dyDescent="0.25">
      <c r="A131" s="10" t="s">
        <v>186</v>
      </c>
      <c r="B131" s="13" t="s">
        <v>176</v>
      </c>
      <c r="C131" s="21"/>
    </row>
    <row r="132" spans="1:3" x14ac:dyDescent="0.25">
      <c r="A132" s="10" t="s">
        <v>187</v>
      </c>
      <c r="B132" s="13" t="s">
        <v>188</v>
      </c>
      <c r="C132" s="21"/>
    </row>
    <row r="133" spans="1:3" x14ac:dyDescent="0.25">
      <c r="A133" s="10">
        <v>15</v>
      </c>
      <c r="B133" s="13" t="s">
        <v>189</v>
      </c>
      <c r="C133" s="20">
        <f>C134+C147</f>
        <v>0</v>
      </c>
    </row>
    <row r="134" spans="1:3" x14ac:dyDescent="0.25">
      <c r="A134" s="10">
        <v>15.1</v>
      </c>
      <c r="B134" s="13" t="s">
        <v>190</v>
      </c>
      <c r="C134" s="20">
        <f>C135+C139+C143</f>
        <v>0</v>
      </c>
    </row>
    <row r="135" spans="1:3" x14ac:dyDescent="0.25">
      <c r="A135" s="10" t="s">
        <v>191</v>
      </c>
      <c r="B135" s="13" t="s">
        <v>192</v>
      </c>
      <c r="C135" s="20">
        <f>C136+C137+C138</f>
        <v>0</v>
      </c>
    </row>
    <row r="136" spans="1:3" x14ac:dyDescent="0.25">
      <c r="A136" s="10" t="s">
        <v>193</v>
      </c>
      <c r="B136" s="13" t="s">
        <v>83</v>
      </c>
      <c r="C136" s="21"/>
    </row>
    <row r="137" spans="1:3" x14ac:dyDescent="0.25">
      <c r="A137" s="10" t="s">
        <v>194</v>
      </c>
      <c r="B137" s="13" t="s">
        <v>195</v>
      </c>
      <c r="C137" s="21"/>
    </row>
    <row r="138" spans="1:3" x14ac:dyDescent="0.25">
      <c r="A138" s="10" t="s">
        <v>196</v>
      </c>
      <c r="B138" s="13" t="s">
        <v>197</v>
      </c>
      <c r="C138" s="21"/>
    </row>
    <row r="139" spans="1:3" x14ac:dyDescent="0.25">
      <c r="A139" s="10" t="s">
        <v>198</v>
      </c>
      <c r="B139" s="13" t="s">
        <v>199</v>
      </c>
      <c r="C139" s="20">
        <f>C140+C141+C142</f>
        <v>0</v>
      </c>
    </row>
    <row r="140" spans="1:3" x14ac:dyDescent="0.25">
      <c r="A140" s="10" t="s">
        <v>200</v>
      </c>
      <c r="B140" s="13" t="s">
        <v>83</v>
      </c>
      <c r="C140" s="21"/>
    </row>
    <row r="141" spans="1:3" x14ac:dyDescent="0.25">
      <c r="A141" s="10" t="s">
        <v>201</v>
      </c>
      <c r="B141" s="13" t="s">
        <v>195</v>
      </c>
      <c r="C141" s="21"/>
    </row>
    <row r="142" spans="1:3" x14ac:dyDescent="0.25">
      <c r="A142" s="10" t="s">
        <v>202</v>
      </c>
      <c r="B142" s="13" t="s">
        <v>197</v>
      </c>
      <c r="C142" s="21"/>
    </row>
    <row r="143" spans="1:3" x14ac:dyDescent="0.25">
      <c r="A143" s="10" t="s">
        <v>203</v>
      </c>
      <c r="B143" s="13" t="s">
        <v>204</v>
      </c>
      <c r="C143" s="20">
        <f>C144+C145+C146</f>
        <v>0</v>
      </c>
    </row>
    <row r="144" spans="1:3" x14ac:dyDescent="0.25">
      <c r="A144" s="10" t="s">
        <v>205</v>
      </c>
      <c r="B144" s="13" t="s">
        <v>206</v>
      </c>
      <c r="C144" s="21"/>
    </row>
    <row r="145" spans="1:3" x14ac:dyDescent="0.25">
      <c r="A145" s="10" t="s">
        <v>207</v>
      </c>
      <c r="B145" s="13" t="s">
        <v>195</v>
      </c>
      <c r="C145" s="21"/>
    </row>
    <row r="146" spans="1:3" x14ac:dyDescent="0.25">
      <c r="A146" s="10" t="s">
        <v>208</v>
      </c>
      <c r="B146" s="13" t="s">
        <v>209</v>
      </c>
      <c r="C146" s="21"/>
    </row>
    <row r="147" spans="1:3" x14ac:dyDescent="0.25">
      <c r="A147" s="10">
        <v>15.2</v>
      </c>
      <c r="B147" s="13" t="s">
        <v>210</v>
      </c>
      <c r="C147" s="20">
        <f>C148+C149+C150</f>
        <v>0</v>
      </c>
    </row>
    <row r="148" spans="1:3" x14ac:dyDescent="0.25">
      <c r="A148" s="10" t="s">
        <v>211</v>
      </c>
      <c r="B148" s="13" t="s">
        <v>212</v>
      </c>
      <c r="C148" s="21"/>
    </row>
    <row r="149" spans="1:3" x14ac:dyDescent="0.25">
      <c r="A149" s="10" t="s">
        <v>213</v>
      </c>
      <c r="B149" s="13" t="s">
        <v>214</v>
      </c>
      <c r="C149" s="21"/>
    </row>
    <row r="150" spans="1:3" x14ac:dyDescent="0.25">
      <c r="A150" s="10" t="s">
        <v>215</v>
      </c>
      <c r="B150" s="13" t="s">
        <v>216</v>
      </c>
      <c r="C150" s="21"/>
    </row>
    <row r="151" spans="1:3" x14ac:dyDescent="0.25">
      <c r="A151" s="10">
        <v>16</v>
      </c>
      <c r="B151" s="13" t="s">
        <v>217</v>
      </c>
      <c r="C151" s="21"/>
    </row>
    <row r="152" spans="1:3" x14ac:dyDescent="0.25">
      <c r="A152" s="10">
        <v>17</v>
      </c>
      <c r="B152" s="13" t="s">
        <v>218</v>
      </c>
      <c r="C152" s="21"/>
    </row>
    <row r="153" spans="1:3" x14ac:dyDescent="0.25">
      <c r="A153" s="10">
        <v>18</v>
      </c>
      <c r="B153" s="13" t="s">
        <v>219</v>
      </c>
      <c r="C153" s="21"/>
    </row>
    <row r="154" spans="1:3" x14ac:dyDescent="0.25">
      <c r="A154" s="10">
        <v>19</v>
      </c>
      <c r="B154" s="13" t="s">
        <v>220</v>
      </c>
      <c r="C154" s="21"/>
    </row>
    <row r="155" spans="1:3" x14ac:dyDescent="0.25">
      <c r="A155" s="10">
        <v>20</v>
      </c>
      <c r="B155" s="13" t="s">
        <v>221</v>
      </c>
      <c r="C155" s="20">
        <f>C156+C157+C158</f>
        <v>0</v>
      </c>
    </row>
    <row r="156" spans="1:3" x14ac:dyDescent="0.25">
      <c r="A156" s="10">
        <v>20.100000000000001</v>
      </c>
      <c r="B156" s="13" t="s">
        <v>222</v>
      </c>
      <c r="C156" s="21"/>
    </row>
    <row r="157" spans="1:3" x14ac:dyDescent="0.25">
      <c r="A157" s="10">
        <v>20.2</v>
      </c>
      <c r="B157" s="13" t="s">
        <v>223</v>
      </c>
      <c r="C157" s="21"/>
    </row>
    <row r="158" spans="1:3" x14ac:dyDescent="0.25">
      <c r="A158" s="10">
        <v>20.3</v>
      </c>
      <c r="B158" s="13" t="s">
        <v>95</v>
      </c>
      <c r="C158" s="21"/>
    </row>
    <row r="159" spans="1:3" x14ac:dyDescent="0.25">
      <c r="A159" s="10">
        <v>21</v>
      </c>
      <c r="B159" s="13" t="s">
        <v>224</v>
      </c>
      <c r="C159" s="20">
        <f>SUM(C160:C164)</f>
        <v>0</v>
      </c>
    </row>
    <row r="160" spans="1:3" x14ac:dyDescent="0.25">
      <c r="A160" s="10">
        <v>21.1</v>
      </c>
      <c r="B160" s="13" t="s">
        <v>225</v>
      </c>
      <c r="C160" s="21"/>
    </row>
    <row r="161" spans="1:3" x14ac:dyDescent="0.25">
      <c r="A161" s="10">
        <v>21.2</v>
      </c>
      <c r="B161" s="13" t="s">
        <v>226</v>
      </c>
      <c r="C161" s="21"/>
    </row>
    <row r="162" spans="1:3" x14ac:dyDescent="0.25">
      <c r="A162" s="10">
        <v>21.3</v>
      </c>
      <c r="B162" s="13" t="s">
        <v>227</v>
      </c>
      <c r="C162" s="21"/>
    </row>
    <row r="163" spans="1:3" x14ac:dyDescent="0.25">
      <c r="A163" s="10">
        <v>21.4</v>
      </c>
      <c r="B163" s="13" t="s">
        <v>228</v>
      </c>
      <c r="C163" s="21"/>
    </row>
    <row r="164" spans="1:3" x14ac:dyDescent="0.25">
      <c r="A164" s="10">
        <v>21.5</v>
      </c>
      <c r="B164" s="24" t="s">
        <v>229</v>
      </c>
      <c r="C164" s="21"/>
    </row>
    <row r="165" spans="1:3" x14ac:dyDescent="0.25">
      <c r="A165" s="25">
        <v>20.6</v>
      </c>
      <c r="B165" s="13" t="s">
        <v>230</v>
      </c>
      <c r="C165" s="21"/>
    </row>
    <row r="166" spans="1:3" x14ac:dyDescent="0.25">
      <c r="A166" s="10">
        <v>22</v>
      </c>
      <c r="B166" s="13" t="s">
        <v>231</v>
      </c>
      <c r="C166" s="20">
        <f>C159+C165</f>
        <v>0</v>
      </c>
    </row>
    <row r="167" spans="1:3" ht="15.75" thickBot="1" x14ac:dyDescent="0.3">
      <c r="A167" s="26"/>
      <c r="B167" s="27" t="s">
        <v>232</v>
      </c>
      <c r="C167" s="28">
        <f>C100+C166</f>
        <v>0</v>
      </c>
    </row>
    <row r="168" spans="1:3" ht="15.75" thickTop="1" x14ac:dyDescent="0.25"/>
  </sheetData>
  <sheetProtection password="CF68" sheet="1" objects="1" scenarios="1"/>
  <mergeCells count="8">
    <mergeCell ref="A14:A15"/>
    <mergeCell ref="B14:B15"/>
    <mergeCell ref="C14:C15"/>
    <mergeCell ref="A4:C7"/>
    <mergeCell ref="A8:B8"/>
    <mergeCell ref="A9:B9"/>
    <mergeCell ref="A10:B10"/>
    <mergeCell ref="A11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MB001MB001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chalab</dc:creator>
  <cp:lastModifiedBy>Abebe Teklu W/Agegnehu</cp:lastModifiedBy>
  <dcterms:created xsi:type="dcterms:W3CDTF">2018-04-23T10:56:26Z</dcterms:created>
  <dcterms:modified xsi:type="dcterms:W3CDTF">2026-08-28T06:31:20Z</dcterms:modified>
</cp:coreProperties>
</file>