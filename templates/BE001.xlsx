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E_EXPE_BE001" state="visible" r:id="rId4"/>
  </sheets>
  <calcPr calcId="171027" fullCalcOnLoad="1"/>
</workbook>
</file>

<file path=xl/sharedStrings.xml><?xml version="1.0" encoding="utf-8"?>
<sst xmlns="http://schemas.openxmlformats.org/spreadsheetml/2006/main" count="53" uniqueCount="53">
  <si>
    <t>BRE_EXPE_BE001</t>
  </si>
  <si>
    <t>BREAKDOWN OF EXPENSES</t>
  </si>
  <si>
    <t>Instiution code</t>
  </si>
  <si>
    <t>0000001</t>
  </si>
  <si>
    <t>Financial Year</t>
  </si>
  <si>
    <t>Start Date</t>
  </si>
  <si>
    <t>2026-07-01</t>
  </si>
  <si>
    <t>End Date</t>
  </si>
  <si>
    <t>2026-09-30</t>
  </si>
  <si>
    <t>In Millions of Birr</t>
  </si>
  <si>
    <t>Code</t>
  </si>
  <si>
    <t>Description</t>
  </si>
  <si>
    <t>Amount</t>
  </si>
  <si>
    <t>1</t>
  </si>
  <si>
    <t>Interest expense (sum 1.1-1.7)</t>
  </si>
  <si>
    <t>1.1</t>
  </si>
  <si>
    <t>Interest on savings deposits</t>
  </si>
  <si>
    <t>1.2</t>
  </si>
  <si>
    <t>Interest on demand deposit</t>
  </si>
  <si>
    <t>1.3</t>
  </si>
  <si>
    <t>Interest on time deposits</t>
  </si>
  <si>
    <t>1.4</t>
  </si>
  <si>
    <t>Interest paid on local borrowings (sum 1.4.1-1.4.3)</t>
  </si>
  <si>
    <t>1.4.1</t>
  </si>
  <si>
    <t>NBE</t>
  </si>
  <si>
    <t>1.4.2</t>
  </si>
  <si>
    <t>Other banks</t>
  </si>
  <si>
    <t>1.4.3</t>
  </si>
  <si>
    <t>Others</t>
  </si>
  <si>
    <t>1.5</t>
  </si>
  <si>
    <t>Interest paid on foreign borrowings</t>
  </si>
  <si>
    <t>1.6</t>
  </si>
  <si>
    <t>Interest paid on NP special FCY accounts</t>
  </si>
  <si>
    <t>1.7</t>
  </si>
  <si>
    <t>Interest paid on correspondents’ accounts</t>
  </si>
  <si>
    <t>2</t>
  </si>
  <si>
    <t>General  and adminstrative expense (sum 2.1-2.3)</t>
  </si>
  <si>
    <t>2.1</t>
  </si>
  <si>
    <t>Depreciation and amortization</t>
  </si>
  <si>
    <t>2.2</t>
  </si>
  <si>
    <t>Foreign exchange trading and fluctuation losses</t>
  </si>
  <si>
    <t>2.3</t>
  </si>
  <si>
    <t>Other general expenses</t>
  </si>
  <si>
    <t>3</t>
  </si>
  <si>
    <t>Employee Salaries and Benefits  (sum 3.1-3.3)</t>
  </si>
  <si>
    <t>3.1</t>
  </si>
  <si>
    <t>Employee Salaries</t>
  </si>
  <si>
    <t>3.2</t>
  </si>
  <si>
    <t>Employee  Benefits</t>
  </si>
  <si>
    <t>3.3</t>
  </si>
  <si>
    <t>other</t>
  </si>
  <si>
    <t>4</t>
  </si>
  <si>
    <t>Total expense incurred(Sum 1-3)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</si>
</sst>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9"/>
      <name val="Arial"/>
    </font>
    <font>
      <b/>
      <color rgb="FFFF0000"/>
      <sz val="16"/>
      <name val="Arial"/>
    </font>
    <font>
      <b/>
      <sz val="10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16">
    <border>
      <left/>
      <right/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medium">
        <color rgb="FF548235"/>
      </top>
      <bottom style="thin">
        <color rgb="FF000000"/>
      </bottom>
      <diagonal/>
    </border>
    <border>
      <left style="thin">
        <color rgb="FF000000"/>
      </left>
      <right style="medium">
        <color rgb="FF548235"/>
      </right>
      <top style="medium">
        <color rgb="FF54823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54823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48235"/>
      </bottom>
      <diagonal/>
    </border>
    <border>
      <left style="thin">
        <color rgb="FF000000"/>
      </left>
      <right style="medium">
        <color rgb="FF548235"/>
      </right>
      <top style="thin">
        <color rgb="FF000000"/>
      </top>
      <bottom style="medium">
        <color rgb="FF548235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12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12" xfId="0" applyNumberFormat="1" applyFont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4" fontId="3" fillId="2" borderId="1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 outlineLevelRow="0" outlineLevelCol="0" x14ac:dyDescent="55"/>
  <cols>
    <col min="1" max="1" width="12" customWidth="1"/>
    <col min="2" max="2" width="65" customWidth="1"/>
    <col min="3" max="3" width="22" customWidth="1"/>
  </cols>
  <sheetData>
    <row r="1" spans="1:1" x14ac:dyDescent="0.25">
      <c r="A1" s="1" t="s">
        <v>0</v>
      </c>
    </row>
    <row r="4" spans="1:3" x14ac:dyDescent="0.25">
      <c r="A4" s="2" t="s">
        <v>1</v>
      </c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3" t="s">
        <v>2</v>
      </c>
      <c r="B8" s="3"/>
      <c r="C8" s="4" t="s">
        <v>3</v>
      </c>
    </row>
    <row r="9" spans="1:3" x14ac:dyDescent="0.25">
      <c r="A9" s="5" t="s">
        <v>4</v>
      </c>
      <c r="B9" s="5"/>
      <c r="C9" s="6">
        <v>2026</v>
      </c>
    </row>
    <row r="10" spans="1:3" x14ac:dyDescent="0.25">
      <c r="A10" s="5" t="s">
        <v>5</v>
      </c>
      <c r="B10" s="5"/>
      <c r="C10" s="6" t="s">
        <v>6</v>
      </c>
    </row>
    <row r="11" spans="1:3" x14ac:dyDescent="0.25">
      <c r="A11" s="7" t="s">
        <v>7</v>
      </c>
      <c r="B11" s="7"/>
      <c r="C11" s="8" t="s">
        <v>8</v>
      </c>
    </row>
    <row r="13" spans="3:3" x14ac:dyDescent="0.25">
      <c r="C13" s="9" t="s">
        <v>9</v>
      </c>
    </row>
    <row r="14" spans="1:3" x14ac:dyDescent="0.25">
      <c r="A14" s="10" t="s">
        <v>10</v>
      </c>
      <c r="B14" s="11" t="s">
        <v>11</v>
      </c>
      <c r="C14" s="12" t="s">
        <v>12</v>
      </c>
    </row>
    <row r="15" spans="1:3" x14ac:dyDescent="0.25">
      <c r="A15" s="13" t="s">
        <v>13</v>
      </c>
      <c r="B15" s="14" t="s">
        <v>14</v>
      </c>
      <c r="C15" s="15">
        <f>C16+C17+C18+C19+C23+C24+C25</f>
      </c>
    </row>
    <row r="16" spans="1:3" x14ac:dyDescent="0.25">
      <c r="A16" s="16" t="s">
        <v>15</v>
      </c>
      <c r="B16" s="17" t="s">
        <v>16</v>
      </c>
      <c r="C16" s="18">
        <v>15223.11</v>
      </c>
    </row>
    <row r="17" spans="1:3" x14ac:dyDescent="0.25">
      <c r="A17" s="16" t="s">
        <v>17</v>
      </c>
      <c r="B17" s="17" t="s">
        <v>18</v>
      </c>
      <c r="C17" s="18"/>
    </row>
    <row r="18" spans="1:3" x14ac:dyDescent="0.25">
      <c r="A18" s="16" t="s">
        <v>19</v>
      </c>
      <c r="B18" s="17" t="s">
        <v>20</v>
      </c>
      <c r="C18" s="18">
        <v>156.15</v>
      </c>
    </row>
    <row r="19" spans="1:3" x14ac:dyDescent="0.25">
      <c r="A19" s="13" t="s">
        <v>21</v>
      </c>
      <c r="B19" s="14" t="s">
        <v>22</v>
      </c>
      <c r="C19" s="15">
        <f>SUM(C20:C22)</f>
      </c>
    </row>
    <row r="20" spans="1:3" x14ac:dyDescent="0.25">
      <c r="A20" s="16" t="s">
        <v>23</v>
      </c>
      <c r="B20" s="17" t="s">
        <v>24</v>
      </c>
      <c r="C20" s="18"/>
    </row>
    <row r="21" spans="1:3" x14ac:dyDescent="0.25">
      <c r="A21" s="16" t="s">
        <v>25</v>
      </c>
      <c r="B21" s="17" t="s">
        <v>26</v>
      </c>
      <c r="C21" s="18"/>
    </row>
    <row r="22" spans="1:3" x14ac:dyDescent="0.25">
      <c r="A22" s="16" t="s">
        <v>27</v>
      </c>
      <c r="B22" s="17" t="s">
        <v>28</v>
      </c>
      <c r="C22" s="18">
        <v>4565.71</v>
      </c>
    </row>
    <row r="23" spans="1:3" x14ac:dyDescent="0.25">
      <c r="A23" s="16" t="s">
        <v>29</v>
      </c>
      <c r="B23" s="17" t="s">
        <v>30</v>
      </c>
      <c r="C23" s="18"/>
    </row>
    <row r="24" spans="1:3" x14ac:dyDescent="0.25">
      <c r="A24" s="16" t="s">
        <v>31</v>
      </c>
      <c r="B24" s="17" t="s">
        <v>32</v>
      </c>
      <c r="C24" s="18"/>
    </row>
    <row r="25" spans="1:3" x14ac:dyDescent="0.25">
      <c r="A25" s="16" t="s">
        <v>33</v>
      </c>
      <c r="B25" s="17" t="s">
        <v>34</v>
      </c>
      <c r="C25" s="18"/>
    </row>
    <row r="26" spans="1:3" x14ac:dyDescent="0.25">
      <c r="A26" s="13" t="s">
        <v>35</v>
      </c>
      <c r="B26" s="14" t="s">
        <v>36</v>
      </c>
      <c r="C26" s="15">
        <f>SUM(C27:C29)</f>
      </c>
    </row>
    <row r="27" spans="1:3" x14ac:dyDescent="0.25">
      <c r="A27" s="16" t="s">
        <v>37</v>
      </c>
      <c r="B27" s="17" t="s">
        <v>38</v>
      </c>
      <c r="C27" s="18">
        <v>2047.29</v>
      </c>
    </row>
    <row r="28" spans="1:3" x14ac:dyDescent="0.25">
      <c r="A28" s="16" t="s">
        <v>39</v>
      </c>
      <c r="B28" s="17" t="s">
        <v>40</v>
      </c>
      <c r="C28" s="18">
        <v>5949.58</v>
      </c>
    </row>
    <row r="29" spans="1:3" x14ac:dyDescent="0.25">
      <c r="A29" s="16" t="s">
        <v>41</v>
      </c>
      <c r="B29" s="17" t="s">
        <v>42</v>
      </c>
      <c r="C29" s="18">
        <v>10871.19</v>
      </c>
    </row>
    <row r="30" spans="1:3" x14ac:dyDescent="0.25">
      <c r="A30" s="13" t="s">
        <v>43</v>
      </c>
      <c r="B30" s="14" t="s">
        <v>44</v>
      </c>
      <c r="C30" s="15">
        <f>SUM(C31:C33)</f>
      </c>
    </row>
    <row r="31" spans="1:3" x14ac:dyDescent="0.25">
      <c r="A31" s="16" t="s">
        <v>45</v>
      </c>
      <c r="B31" s="17" t="s">
        <v>46</v>
      </c>
      <c r="C31" s="18">
        <v>6775.39</v>
      </c>
    </row>
    <row r="32" spans="1:3" x14ac:dyDescent="0.25">
      <c r="A32" s="16" t="s">
        <v>47</v>
      </c>
      <c r="B32" s="17" t="s">
        <v>48</v>
      </c>
      <c r="C32" s="18">
        <v>5502.81</v>
      </c>
    </row>
    <row r="33" spans="1:3" x14ac:dyDescent="0.25">
      <c r="A33" s="16" t="s">
        <v>49</v>
      </c>
      <c r="B33" s="17" t="s">
        <v>50</v>
      </c>
      <c r="C33" s="18">
        <v>3533.82</v>
      </c>
    </row>
    <row r="34" spans="1:3" x14ac:dyDescent="0.25">
      <c r="A34" s="19" t="s">
        <v>51</v>
      </c>
      <c r="B34" s="20" t="s">
        <v>52</v>
      </c>
      <c r="C34" s="21">
        <f>C15+C26+C30</f>
      </c>
    </row>
  </sheetData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BRE_EXPE_BE001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2026-10-02T08:05:43Z</dcterms:created>
  <dcterms:modified xsi:type="dcterms:W3CDTF">2026-10-02T08:05:43Z</dcterms:modified>
</cp:coreProperties>
</file>