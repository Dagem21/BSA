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50" activeTab="1"/>
  </bookViews>
  <sheets>
    <sheet name="ZS001 " sheetId="3" r:id="rId1"/>
    <sheet name="NBE" sheetId="5" r:id="rId2"/>
  </sheets>
  <definedNames>
    <definedName name="Cum_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<sst xmlns="http://schemas.openxmlformats.org/spreadsheetml/2006/main" count="67" uniqueCount="37">
  <si>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>LSR-Statutory ZS001</t>
  </si>
  <si>
    <t>Liquidity Requirement Report</t>
  </si>
  <si>
    <t xml:space="preserve">Institution code </t>
  </si>
  <si>
    <t>0000001</t>
  </si>
  <si>
    <t>Financial Year</t>
  </si>
  <si>
    <t>2026</t>
  </si>
  <si>
    <t>Start Date</t>
  </si>
  <si>
    <t>End Date</t>
  </si>
  <si>
    <t>Amount in Millions of Birr</t>
  </si>
  <si>
    <t>Code</t>
  </si>
  <si>
    <t>Description</t>
  </si>
  <si>
    <t>Thu</t>
  </si>
  <si>
    <t>Fri</t>
  </si>
  <si>
    <t>Sat</t>
  </si>
  <si>
    <t>Sun</t>
  </si>
  <si>
    <t>Mon</t>
  </si>
  <si>
    <t>Tue</t>
  </si>
  <si>
    <t>Wed</t>
  </si>
  <si>
    <t xml:space="preserve">Weekly Average </t>
  </si>
  <si>
    <t>Required Liquid Assets</t>
  </si>
  <si>
    <t xml:space="preserve">Net current liabilities </t>
  </si>
  <si>
    <t xml:space="preserve">15% of net current liabilities </t>
  </si>
  <si>
    <t xml:space="preserve">Liquid Assets Held </t>
  </si>
  <si>
    <t xml:space="preserve">Cash - local and foreign currency </t>
  </si>
  <si>
    <t xml:space="preserve">Deposits with NBE </t>
  </si>
  <si>
    <t xml:space="preserve">Deposits with other local &amp; foreign banks </t>
  </si>
  <si>
    <t xml:space="preserve">Treasury bills </t>
  </si>
  <si>
    <t>Net due from Domestic banks*</t>
  </si>
  <si>
    <t>Net due from Foreign banks*</t>
  </si>
  <si>
    <t xml:space="preserve">Total liquid assets (=sum 2.1 to 2.4 less 2.5 &amp; 2.6) </t>
  </si>
  <si>
    <t xml:space="preserve">Excess/deficit (2.7-1.2) </t>
  </si>
  <si>
    <t xml:space="preserve">Liquidity Ratio </t>
  </si>
  <si>
    <t xml:space="preserve">Note:  * Refers to demand and call deposit held with other banks which should not be committed or earmarked in any way.
            -DBE is exempted from weekly liquidity report
         </t>
  </si>
  <si>
    <t>Manager LCY  Fund Mg't :_______                                                                                       Director-Treasury : _______                                                       VP-Financial Management: _________</t>
  </si>
  <si>
    <t xml:space="preserve">Instiution code </t>
  </si>
  <si>
    <t>code</t>
  </si>
  <si>
    <t xml:space="preserve">Note:  * Refers to demand and call deposit held with other banks which should not be committed or earmarked in any way
            -DBE is exempted from weekly liquidity report
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</si>
</sst>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dd\.mm\.yy;@"/>
    <numFmt numFmtId="179" formatCode="_-* #,##0.00\ _k_r_-;\-* #,##0.00\ _k_r_-;_-* &quot;-&quot;??\ _k_r_-;_-@_-"/>
    <numFmt numFmtId="180" formatCode="[$€-2]\ #,##0.00_);[Red]\([$€-2]\ #,##0.00\)"/>
    <numFmt numFmtId="181" formatCode="0.0000"/>
    <numFmt numFmtId="182" formatCode="mmmm\ d\,\ yyyy"/>
    <numFmt numFmtId="183" formatCode="_-* #,##0.00\ &quot;zł&quot;_-;\-* #,##0.00\ &quot;zł&quot;_-;_-* &quot;-&quot;??\ &quot;zł&quot;_-;_-@_-"/>
    <numFmt numFmtId="184" formatCode="[$-409]d\-mmm\-yy;@"/>
    <numFmt numFmtId="185" formatCode="#,##0.00;[Red]#,##0.00"/>
    <numFmt numFmtId="186" formatCode="&quot;Yes&quot;;&quot;Yes&quot;;&quot;No&quot;"/>
    <numFmt numFmtId="187" formatCode="[$-10452]yyyy\-mm\-dd;@"/>
  </numFmts>
  <fonts count="4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238"/>
      <scheme val="minor"/>
    </font>
    <font>
      <sz val="11"/>
      <color theme="0"/>
      <name val="Calibri"/>
      <charset val="238"/>
      <scheme val="minor"/>
    </font>
    <font>
      <sz val="10"/>
      <color theme="0"/>
      <name val="Arial"/>
      <charset val="238"/>
    </font>
    <font>
      <sz val="10"/>
      <name val="Arial"/>
      <charset val="134"/>
    </font>
    <font>
      <sz val="10"/>
      <color theme="1"/>
      <name val="Arial"/>
      <charset val="134"/>
    </font>
    <font>
      <sz val="11"/>
      <color rgb="FF3F3F76"/>
      <name val="Calibri"/>
      <charset val="238"/>
      <scheme val="minor"/>
    </font>
    <font>
      <b/>
      <sz val="11"/>
      <color rgb="FF3F3F3F"/>
      <name val="Calibri"/>
      <charset val="238"/>
      <scheme val="minor"/>
    </font>
    <font>
      <sz val="11"/>
      <color rgb="FF006100"/>
      <name val="Calibri"/>
      <charset val="238"/>
      <scheme val="minor"/>
    </font>
    <font>
      <sz val="11"/>
      <color rgb="FFFA7D00"/>
      <name val="Calibri"/>
      <charset val="238"/>
      <scheme val="minor"/>
    </font>
    <font>
      <b/>
      <sz val="11"/>
      <color theme="0"/>
      <name val="Calibri"/>
      <charset val="238"/>
      <scheme val="minor"/>
    </font>
    <font>
      <b/>
      <sz val="15"/>
      <color theme="3"/>
      <name val="Calibri"/>
      <charset val="238"/>
      <scheme val="minor"/>
    </font>
    <font>
      <b/>
      <sz val="13"/>
      <color theme="3"/>
      <name val="Calibri"/>
      <charset val="238"/>
      <scheme val="minor"/>
    </font>
    <font>
      <b/>
      <sz val="11"/>
      <color theme="3"/>
      <name val="Calibri"/>
      <charset val="238"/>
      <scheme val="minor"/>
    </font>
    <font>
      <sz val="11"/>
      <color rgb="FF9C6500"/>
      <name val="Calibri"/>
      <charset val="238"/>
      <scheme val="minor"/>
    </font>
    <font>
      <sz val="11"/>
      <color theme="1"/>
      <name val="Calibri"/>
      <charset val="134"/>
    </font>
    <font>
      <b/>
      <sz val="11"/>
      <color rgb="FFFA7D00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i/>
      <sz val="11"/>
      <color rgb="FF7F7F7F"/>
      <name val="Calibri"/>
      <charset val="238"/>
      <scheme val="minor"/>
    </font>
    <font>
      <sz val="11"/>
      <color rgb="FFFF0000"/>
      <name val="Calibri"/>
      <charset val="238"/>
      <scheme val="minor"/>
    </font>
    <font>
      <b/>
      <sz val="18"/>
      <color theme="3"/>
      <name val="Cambria"/>
      <charset val="238"/>
      <scheme val="major"/>
    </font>
    <font>
      <sz val="11"/>
      <color rgb="FF9C0006"/>
      <name val="Calibri"/>
      <charset val="238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</fills>
  <borders count="43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/>
      <diagonal/>
    </border>
    <border>
      <left/>
      <right style="thick">
        <color rgb="FF00B0F0"/>
      </right>
      <top/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00000"/>
      </left>
      <right style="thin">
        <color rgb="FF0070C0"/>
      </right>
      <top style="medium">
        <color rgb="FFC0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C00000"/>
      </top>
      <bottom style="thin">
        <color rgb="FF0070C0"/>
      </bottom>
      <diagonal/>
    </border>
    <border>
      <left style="thin">
        <color rgb="FF0070C0"/>
      </left>
      <right style="medium">
        <color rgb="FFC00000"/>
      </right>
      <top style="medium">
        <color rgb="FFC00000"/>
      </top>
      <bottom style="thin">
        <color rgb="FF0070C0"/>
      </bottom>
      <diagonal/>
    </border>
    <border>
      <left style="medium">
        <color rgb="FFC0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C00000"/>
      </right>
      <top style="thin">
        <color rgb="FF0070C0"/>
      </top>
      <bottom style="thin">
        <color rgb="FF0070C0"/>
      </bottom>
      <diagonal/>
    </border>
    <border>
      <left style="medium">
        <color rgb="FFC00000"/>
      </left>
      <right style="thin">
        <color rgb="FF0070C0"/>
      </right>
      <top style="thin">
        <color rgb="FF0070C0"/>
      </top>
      <bottom style="medium">
        <color rgb="FFC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C00000"/>
      </bottom>
      <diagonal/>
    </border>
    <border>
      <left style="thin">
        <color rgb="FF0070C0"/>
      </left>
      <right style="medium">
        <color rgb="FFC00000"/>
      </right>
      <top style="thin">
        <color rgb="FF0070C0"/>
      </top>
      <bottom style="medium">
        <color rgb="FFC00000"/>
      </bottom>
      <diagonal/>
    </border>
    <border>
      <left style="thin">
        <color theme="4"/>
      </left>
      <right style="thin">
        <color auto="1"/>
      </right>
      <top style="thin">
        <color theme="4"/>
      </top>
      <bottom/>
      <diagonal/>
    </border>
    <border>
      <left style="thin">
        <color auto="1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07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35" applyNumberFormat="0" applyAlignment="0" applyProtection="0">
      <alignment vertical="center"/>
    </xf>
    <xf numFmtId="0" fontId="16" fillId="11" borderId="36" applyNumberFormat="0" applyAlignment="0" applyProtection="0">
      <alignment vertical="center"/>
    </xf>
    <xf numFmtId="0" fontId="17" fillId="11" borderId="35" applyNumberFormat="0" applyAlignment="0" applyProtection="0">
      <alignment vertical="center"/>
    </xf>
    <xf numFmtId="0" fontId="18" fillId="12" borderId="37" applyNumberFormat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7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7" fillId="56" borderId="0" applyNumberFormat="0" applyBorder="0" applyAlignment="0" applyProtection="0"/>
    <xf numFmtId="0" fontId="28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27" fillId="62" borderId="0" applyNumberFormat="0" applyBorder="0" applyAlignment="0" applyProtection="0"/>
    <xf numFmtId="176" fontId="29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29" fillId="0" borderId="0" applyAlignment="0"/>
    <xf numFmtId="180" fontId="29" fillId="0" borderId="0" applyFont="0" applyFill="0" applyBorder="0" applyAlignment="0" applyProtection="0"/>
    <xf numFmtId="43" fontId="0" fillId="0" borderId="0" applyFont="0" applyFill="0" applyBorder="0" applyAlignment="0" applyProtection="0"/>
    <xf numFmtId="181" fontId="29" fillId="0" borderId="0" applyFont="0" applyFill="0" applyBorder="0" applyAlignment="0" applyProtection="0"/>
    <xf numFmtId="176" fontId="30" fillId="0" borderId="0" applyFont="0" applyFill="0" applyBorder="0" applyAlignment="0" applyProtection="0"/>
    <xf numFmtId="182" fontId="29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31" fillId="63" borderId="35" applyNumberFormat="0" applyAlignment="0" applyProtection="0"/>
    <xf numFmtId="0" fontId="32" fillId="64" borderId="36" applyNumberFormat="0" applyAlignment="0" applyProtection="0"/>
    <xf numFmtId="0" fontId="33" fillId="65" borderId="0" applyNumberFormat="0" applyBorder="0" applyAlignment="0" applyProtection="0"/>
    <xf numFmtId="0" fontId="34" fillId="0" borderId="38" applyNumberFormat="0" applyFill="0" applyAlignment="0" applyProtection="0"/>
    <xf numFmtId="0" fontId="35" fillId="66" borderId="37" applyNumberFormat="0" applyAlignment="0" applyProtection="0"/>
    <xf numFmtId="0" fontId="36" fillId="0" borderId="40" applyNumberFormat="0" applyFill="0" applyAlignment="0" applyProtection="0"/>
    <xf numFmtId="0" fontId="37" fillId="0" borderId="41" applyNumberFormat="0" applyFill="0" applyAlignment="0" applyProtection="0"/>
    <xf numFmtId="0" fontId="38" fillId="0" borderId="42" applyNumberFormat="0" applyFill="0" applyAlignment="0" applyProtection="0"/>
    <xf numFmtId="0" fontId="38" fillId="0" borderId="0" applyNumberFormat="0" applyFill="0" applyBorder="0" applyAlignment="0" applyProtection="0"/>
    <xf numFmtId="0" fontId="39" fillId="67" borderId="0" applyNumberFormat="0" applyBorder="0" applyAlignment="0" applyProtection="0"/>
    <xf numFmtId="184" fontId="0" fillId="0" borderId="0"/>
    <xf numFmtId="0" fontId="29" fillId="0" borderId="0" applyAlignment="0"/>
    <xf numFmtId="0" fontId="29" fillId="0" borderId="0"/>
    <xf numFmtId="0" fontId="30" fillId="0" borderId="0"/>
    <xf numFmtId="0" fontId="40" fillId="0" borderId="0"/>
    <xf numFmtId="185" fontId="0" fillId="0" borderId="0"/>
    <xf numFmtId="186" fontId="0" fillId="0" borderId="0"/>
    <xf numFmtId="0" fontId="41" fillId="64" borderId="35" applyNumberFormat="0" applyAlignment="0" applyProtection="0"/>
    <xf numFmtId="0" fontId="42" fillId="0" borderId="3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68" borderId="32" applyNumberFormat="0" applyFont="0" applyAlignment="0" applyProtection="0"/>
    <xf numFmtId="0" fontId="46" fillId="69" borderId="0" applyNumberFormat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49" fontId="1" fillId="3" borderId="9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0" fontId="3" fillId="3" borderId="10" xfId="0" applyFont="1" applyFill="1" applyBorder="1" applyAlignment="1">
      <alignment horizontal="left"/>
    </xf>
    <xf numFmtId="49" fontId="1" fillId="3" borderId="10" xfId="0" applyNumberFormat="1" applyFont="1" applyFill="1" applyBorder="1" applyAlignment="1" applyProtection="1">
      <alignment horizontal="right"/>
      <protection locked="0"/>
    </xf>
    <xf numFmtId="187" fontId="1" fillId="3" borderId="10" xfId="0" applyNumberFormat="1" applyFont="1" applyFill="1" applyBorder="1" applyAlignment="1" applyProtection="1">
      <alignment horizontal="right"/>
      <protection locked="0"/>
    </xf>
    <xf numFmtId="0" fontId="1" fillId="4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top"/>
    </xf>
    <xf numFmtId="0" fontId="3" fillId="5" borderId="13" xfId="0" applyFont="1" applyFill="1" applyBorder="1" applyAlignment="1">
      <alignment horizontal="center" vertical="top" wrapText="1"/>
    </xf>
    <xf numFmtId="176" fontId="3" fillId="5" borderId="13" xfId="1" applyFont="1" applyFill="1" applyBorder="1" applyAlignment="1">
      <alignment horizontal="center" vertical="top" wrapText="1"/>
    </xf>
    <xf numFmtId="176" fontId="3" fillId="5" borderId="14" xfId="1" applyFont="1" applyFill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vertical="top" wrapText="1"/>
    </xf>
    <xf numFmtId="39" fontId="1" fillId="0" borderId="16" xfId="1" applyNumberFormat="1" applyFont="1" applyBorder="1" applyAlignment="1" applyProtection="1">
      <alignment horizontal="right" vertical="top" wrapText="1"/>
    </xf>
    <xf numFmtId="39" fontId="1" fillId="0" borderId="16" xfId="0" applyNumberFormat="1" applyFont="1" applyBorder="1"/>
    <xf numFmtId="39" fontId="1" fillId="0" borderId="17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vertical="top" wrapText="1"/>
    </xf>
    <xf numFmtId="176" fontId="1" fillId="0" borderId="16" xfId="1" applyFont="1" applyFill="1" applyBorder="1" applyAlignment="1" applyProtection="1">
      <alignment vertical="top" wrapText="1"/>
      <protection locked="0"/>
    </xf>
    <xf numFmtId="176" fontId="1" fillId="3" borderId="17" xfId="1" applyFont="1" applyFill="1" applyBorder="1" applyAlignment="1">
      <alignment horizontal="right"/>
    </xf>
    <xf numFmtId="176" fontId="3" fillId="0" borderId="16" xfId="1" applyFont="1" applyBorder="1" applyAlignment="1" applyProtection="1">
      <alignment horizontal="right" vertical="top" wrapText="1"/>
    </xf>
    <xf numFmtId="176" fontId="3" fillId="3" borderId="17" xfId="1" applyFont="1" applyFill="1" applyBorder="1" applyAlignment="1" applyProtection="1">
      <alignment horizontal="right" vertical="top" wrapText="1"/>
    </xf>
    <xf numFmtId="176" fontId="1" fillId="0" borderId="16" xfId="1" applyFont="1" applyBorder="1" applyAlignment="1" applyProtection="1">
      <alignment horizontal="right" vertical="top" wrapText="1"/>
    </xf>
    <xf numFmtId="176" fontId="1" fillId="0" borderId="16" xfId="1" applyFont="1" applyBorder="1"/>
    <xf numFmtId="176" fontId="1" fillId="6" borderId="16" xfId="1" applyFont="1" applyFill="1" applyBorder="1"/>
    <xf numFmtId="176" fontId="1" fillId="0" borderId="16" xfId="1" applyFont="1" applyBorder="1" applyAlignment="1" applyProtection="1">
      <alignment horizontal="right" vertical="top" wrapText="1"/>
      <protection locked="0"/>
    </xf>
    <xf numFmtId="176" fontId="1" fillId="0" borderId="16" xfId="1" applyFont="1" applyBorder="1" applyProtection="1">
      <protection locked="0"/>
    </xf>
    <xf numFmtId="176" fontId="1" fillId="6" borderId="16" xfId="1" applyFont="1" applyFill="1" applyBorder="1" applyProtection="1">
      <protection locked="0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vertical="top" wrapText="1"/>
    </xf>
    <xf numFmtId="176" fontId="4" fillId="0" borderId="16" xfId="1" applyFont="1" applyBorder="1" applyAlignment="1" applyProtection="1">
      <alignment horizontal="right" vertical="top" wrapText="1"/>
      <protection locked="0"/>
    </xf>
    <xf numFmtId="176" fontId="4" fillId="0" borderId="16" xfId="1" applyFont="1" applyBorder="1" applyProtection="1">
      <protection locked="0"/>
    </xf>
    <xf numFmtId="176" fontId="4" fillId="6" borderId="16" xfId="1" applyFont="1" applyFill="1" applyBorder="1" applyProtection="1">
      <protection locked="0"/>
    </xf>
    <xf numFmtId="176" fontId="4" fillId="3" borderId="17" xfId="1" applyFont="1" applyFill="1" applyBorder="1" applyAlignment="1">
      <alignment horizontal="right"/>
    </xf>
    <xf numFmtId="0" fontId="1" fillId="6" borderId="16" xfId="0" applyFont="1" applyFill="1" applyBorder="1" applyAlignment="1">
      <alignment vertical="top" wrapText="1"/>
    </xf>
    <xf numFmtId="176" fontId="3" fillId="6" borderId="16" xfId="1" applyFont="1" applyFill="1" applyBorder="1" applyAlignment="1" applyProtection="1">
      <alignment horizontal="right" vertical="top" wrapText="1"/>
    </xf>
    <xf numFmtId="0" fontId="1" fillId="0" borderId="18" xfId="0" applyFont="1" applyBorder="1" applyAlignment="1">
      <alignment horizontal="center"/>
    </xf>
    <xf numFmtId="0" fontId="1" fillId="6" borderId="19" xfId="0" applyFont="1" applyFill="1" applyBorder="1" applyAlignment="1">
      <alignment vertical="top" wrapText="1"/>
    </xf>
    <xf numFmtId="176" fontId="3" fillId="6" borderId="19" xfId="1" applyFont="1" applyFill="1" applyBorder="1" applyAlignment="1" applyProtection="1">
      <alignment horizontal="center" vertical="top" wrapText="1"/>
    </xf>
    <xf numFmtId="176" fontId="3" fillId="3" borderId="20" xfId="1" applyFont="1" applyFill="1" applyBorder="1" applyAlignment="1" applyProtection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6" borderId="0" xfId="0" applyFont="1" applyFill="1"/>
    <xf numFmtId="0" fontId="1" fillId="0" borderId="0" xfId="0" applyFont="1" applyAlignment="1">
      <alignment horizontal="center"/>
    </xf>
    <xf numFmtId="43" fontId="1" fillId="0" borderId="0" xfId="0" applyNumberFormat="1" applyFont="1"/>
    <xf numFmtId="9" fontId="1" fillId="0" borderId="0" xfId="3" applyFont="1"/>
    <xf numFmtId="10" fontId="1" fillId="0" borderId="0" xfId="3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176" fontId="6" fillId="0" borderId="0" xfId="1" applyFont="1"/>
    <xf numFmtId="0" fontId="5" fillId="0" borderId="0" xfId="0" applyFont="1" applyAlignment="1">
      <alignment horizontal="left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left"/>
    </xf>
    <xf numFmtId="49" fontId="5" fillId="3" borderId="17" xfId="0" applyNumberFormat="1" applyFont="1" applyFill="1" applyBorder="1" applyAlignment="1" applyProtection="1">
      <alignment horizontal="right"/>
      <protection locked="0"/>
    </xf>
    <xf numFmtId="43" fontId="5" fillId="0" borderId="0" xfId="0" applyNumberFormat="1" applyFont="1"/>
    <xf numFmtId="176" fontId="5" fillId="0" borderId="0" xfId="1" applyFont="1"/>
    <xf numFmtId="187" fontId="5" fillId="3" borderId="17" xfId="0" applyNumberFormat="1" applyFont="1" applyFill="1" applyBorder="1" applyAlignment="1" applyProtection="1">
      <alignment horizontal="right"/>
      <protection locked="0"/>
    </xf>
    <xf numFmtId="0" fontId="5" fillId="3" borderId="18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187" fontId="5" fillId="3" borderId="20" xfId="0" applyNumberFormat="1" applyFont="1" applyFill="1" applyBorder="1" applyAlignment="1" applyProtection="1">
      <alignment horizontal="right"/>
      <protection locked="0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 wrapText="1"/>
    </xf>
    <xf numFmtId="176" fontId="5" fillId="0" borderId="13" xfId="1" applyFont="1" applyFill="1" applyBorder="1" applyAlignment="1">
      <alignment horizontal="center" vertical="top" wrapText="1"/>
    </xf>
    <xf numFmtId="176" fontId="5" fillId="0" borderId="14" xfId="1" applyFont="1" applyFill="1" applyBorder="1" applyAlignment="1">
      <alignment horizontal="center" vertical="top" wrapText="1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vertical="top" wrapText="1"/>
    </xf>
    <xf numFmtId="39" fontId="6" fillId="0" borderId="16" xfId="1" applyNumberFormat="1" applyFont="1" applyFill="1" applyBorder="1" applyAlignment="1" applyProtection="1">
      <alignment horizontal="right" vertical="top" wrapText="1"/>
    </xf>
    <xf numFmtId="176" fontId="5" fillId="0" borderId="16" xfId="1" applyFont="1" applyFill="1" applyBorder="1" applyAlignment="1">
      <alignment horizontal="center" vertical="top" wrapText="1"/>
    </xf>
    <xf numFmtId="176" fontId="6" fillId="0" borderId="17" xfId="1" applyFont="1" applyFill="1" applyBorder="1" applyAlignment="1" applyProtection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vertical="top" wrapText="1"/>
    </xf>
    <xf numFmtId="176" fontId="6" fillId="0" borderId="16" xfId="1" applyFont="1" applyFill="1" applyBorder="1" applyAlignment="1" applyProtection="1">
      <alignment vertical="top" wrapText="1"/>
      <protection locked="0"/>
    </xf>
    <xf numFmtId="176" fontId="5" fillId="0" borderId="17" xfId="1" applyFont="1" applyFill="1" applyBorder="1" applyAlignment="1" applyProtection="1"/>
    <xf numFmtId="176" fontId="6" fillId="0" borderId="0" xfId="0" applyNumberFormat="1" applyFont="1"/>
    <xf numFmtId="176" fontId="5" fillId="0" borderId="16" xfId="1" applyFont="1" applyFill="1" applyBorder="1" applyAlignment="1" applyProtection="1">
      <alignment vertical="top" wrapText="1"/>
    </xf>
    <xf numFmtId="176" fontId="6" fillId="0" borderId="16" xfId="1" applyFont="1" applyFill="1" applyBorder="1" applyAlignment="1" applyProtection="1">
      <alignment vertical="top" wrapText="1"/>
    </xf>
    <xf numFmtId="176" fontId="6" fillId="0" borderId="16" xfId="1" applyFont="1" applyFill="1" applyBorder="1" applyAlignment="1" applyProtection="1"/>
    <xf numFmtId="176" fontId="6" fillId="0" borderId="16" xfId="1" applyFont="1" applyFill="1" applyBorder="1" applyAlignment="1" applyProtection="1">
      <protection locked="0"/>
    </xf>
    <xf numFmtId="176" fontId="6" fillId="0" borderId="17" xfId="1" applyFont="1" applyFill="1" applyBorder="1" applyAlignment="1" applyProtection="1"/>
    <xf numFmtId="176" fontId="6" fillId="0" borderId="0" xfId="1" applyFont="1" applyFill="1"/>
    <xf numFmtId="176" fontId="5" fillId="0" borderId="16" xfId="1" applyFont="1" applyFill="1" applyBorder="1" applyAlignment="1" applyProtection="1">
      <alignment vertical="top" wrapText="1"/>
      <protection locked="0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vertical="top" wrapText="1"/>
    </xf>
    <xf numFmtId="176" fontId="5" fillId="0" borderId="19" xfId="1" applyFont="1" applyFill="1" applyBorder="1" applyAlignment="1">
      <alignment vertical="top" wrapText="1"/>
    </xf>
    <xf numFmtId="176" fontId="5" fillId="0" borderId="20" xfId="1" applyFont="1" applyFill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2" fontId="5" fillId="0" borderId="0" xfId="0" applyNumberFormat="1" applyFont="1" applyAlignment="1">
      <alignment horizontal="left" vertical="center"/>
    </xf>
    <xf numFmtId="176" fontId="6" fillId="0" borderId="24" xfId="1" applyFont="1" applyBorder="1"/>
    <xf numFmtId="176" fontId="6" fillId="0" borderId="25" xfId="1" applyFont="1" applyBorder="1"/>
    <xf numFmtId="176" fontId="6" fillId="0" borderId="26" xfId="1" applyFont="1" applyBorder="1"/>
    <xf numFmtId="176" fontId="6" fillId="0" borderId="27" xfId="1" applyFont="1" applyBorder="1"/>
    <xf numFmtId="176" fontId="6" fillId="0" borderId="0" xfId="1" applyFont="1" applyBorder="1"/>
    <xf numFmtId="176" fontId="6" fillId="0" borderId="28" xfId="1" applyFont="1" applyBorder="1"/>
    <xf numFmtId="176" fontId="6" fillId="8" borderId="27" xfId="1" applyFont="1" applyFill="1" applyBorder="1"/>
    <xf numFmtId="176" fontId="6" fillId="8" borderId="0" xfId="1" applyFont="1" applyFill="1" applyBorder="1"/>
    <xf numFmtId="176" fontId="6" fillId="8" borderId="28" xfId="1" applyFont="1" applyFill="1" applyBorder="1"/>
    <xf numFmtId="176" fontId="6" fillId="8" borderId="29" xfId="1" applyFont="1" applyFill="1" applyBorder="1"/>
    <xf numFmtId="176" fontId="6" fillId="8" borderId="30" xfId="1" applyFont="1" applyFill="1" applyBorder="1"/>
    <xf numFmtId="176" fontId="6" fillId="8" borderId="31" xfId="1" applyFont="1" applyFill="1" applyBorder="1"/>
    <xf numFmtId="43" fontId="6" fillId="0" borderId="0" xfId="0" applyNumberFormat="1" applyFont="1"/>
  </cellXfs>
  <cellStyles count="10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kcent 1" xfId="49"/>
    <cellStyle name="20% - akcent 2" xfId="50"/>
    <cellStyle name="20% - akcent 3" xfId="51"/>
    <cellStyle name="20% - akcent 4" xfId="52"/>
    <cellStyle name="20% - akcent 5" xfId="53"/>
    <cellStyle name="20% - akcent 6" xfId="54"/>
    <cellStyle name="40% - akcent 1" xfId="55"/>
    <cellStyle name="40% - akcent 2" xfId="56"/>
    <cellStyle name="40% - akcent 3" xfId="57"/>
    <cellStyle name="40% - akcent 4" xfId="58"/>
    <cellStyle name="40% - akcent 5" xfId="59"/>
    <cellStyle name="40% - akcent 6" xfId="60"/>
    <cellStyle name="60% - akcent 1" xfId="61"/>
    <cellStyle name="60% - akcent 2" xfId="62"/>
    <cellStyle name="60% - akcent 3" xfId="63"/>
    <cellStyle name="60% - akcent 4" xfId="64"/>
    <cellStyle name="60% - akcent 5" xfId="65"/>
    <cellStyle name="60% - akcent 6" xfId="66"/>
    <cellStyle name="Accent1 2" xfId="67"/>
    <cellStyle name="Akcent 1" xfId="68"/>
    <cellStyle name="Akcent 2" xfId="69"/>
    <cellStyle name="Akcent 3" xfId="70"/>
    <cellStyle name="Akcent 4" xfId="71"/>
    <cellStyle name="Akcent 5" xfId="72"/>
    <cellStyle name="Akcent 6" xfId="73"/>
    <cellStyle name="Comma 10" xfId="74"/>
    <cellStyle name="Comma 12" xfId="75"/>
    <cellStyle name="Comma 25" xfId="76"/>
    <cellStyle name="Comma 3" xfId="77"/>
    <cellStyle name="Comma 30" xfId="78"/>
    <cellStyle name="Comma 4" xfId="79"/>
    <cellStyle name="Comma 4 2" xfId="80"/>
    <cellStyle name="Comma 7" xfId="81"/>
    <cellStyle name="Currency 2" xfId="82"/>
    <cellStyle name="Dane wejściowe" xfId="83"/>
    <cellStyle name="Dane wyjściowe" xfId="84"/>
    <cellStyle name="Dobre" xfId="85"/>
    <cellStyle name="Komórka połączona" xfId="86"/>
    <cellStyle name="Komórka zaznaczona" xfId="87"/>
    <cellStyle name="Nagłówek 1" xfId="88"/>
    <cellStyle name="Nagłówek 2" xfId="89"/>
    <cellStyle name="Nagłówek 3" xfId="90"/>
    <cellStyle name="Nagłówek 4" xfId="91"/>
    <cellStyle name="Neutralne" xfId="92"/>
    <cellStyle name="Normal 10" xfId="93"/>
    <cellStyle name="Normal 11" xfId="94"/>
    <cellStyle name="Normal 12" xfId="95"/>
    <cellStyle name="Normal 2 4" xfId="96"/>
    <cellStyle name="Normal 3 2" xfId="97"/>
    <cellStyle name="Normal 6 2" xfId="98"/>
    <cellStyle name="Normal 9" xfId="99"/>
    <cellStyle name="Obliczenia" xfId="100"/>
    <cellStyle name="Suma" xfId="101"/>
    <cellStyle name="Tekst objaśnienia" xfId="102"/>
    <cellStyle name="Tekst ostrzeżenia" xfId="103"/>
    <cellStyle name="Tytuł" xfId="104"/>
    <cellStyle name="Uwaga" xfId="105"/>
    <cellStyle name="Złe" xfId="106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S62"/>
  <sheetViews>
    <sheetView workbookViewId="0">
      <selection activeCell="D20" sqref="D20"/>
    </sheetView>
  </sheetViews>
  <sheetFormatPr defaultColWidth="9.14285714285714" defaultRowHeight="12.75"/>
  <cols>
    <col min="1" max="1" width="5.28571428571429" style="58" customWidth="1"/>
    <col min="2" max="2" width="13.8571428571429" style="58" customWidth="1"/>
    <col min="3" max="3" width="40" style="58" customWidth="1"/>
    <col min="4" max="10" width="12.4285714285714" style="58" customWidth="1"/>
    <col min="11" max="11" width="14.2857142857143" style="59" customWidth="1"/>
    <col min="12" max="12" width="13.2857142857143" style="58" customWidth="1"/>
    <col min="13" max="13" width="13.5714285714286" style="58" customWidth="1"/>
    <col min="14" max="14" width="10" style="59" customWidth="1"/>
    <col min="15" max="15" width="11.4285714285714" style="59" customWidth="1"/>
    <col min="16" max="16" width="9.14285714285714" style="59"/>
    <col min="17" max="17" width="12.5714285714286" style="59" customWidth="1"/>
    <col min="18" max="18" width="13.7142857142857" style="58" customWidth="1"/>
    <col min="19" max="19" width="11.1428571428571" style="58" customWidth="1"/>
    <col min="20" max="16384" width="9.14285714285714" style="58"/>
  </cols>
  <sheetData>
    <row r="2" spans="2:12">
      <c r="B2" s="60" t="s">
        <v>0</v>
      </c>
      <c r="C2" s="60"/>
    </row>
    <row r="3" spans="2:12">
      <c r="I3" s="59"/>
      <c r="J3" s="59"/>
      <c r="L3" s="59"/>
    </row>
    <row r="4" ht="13.5" spans="2:12">
      <c r="I4" s="59"/>
      <c r="J4" s="59"/>
      <c r="L4" s="59"/>
    </row>
    <row r="5" spans="2:12">
      <c r="B5" s="61" t="s">
        <v>1</v>
      </c>
      <c r="C5" s="62"/>
      <c r="D5" s="63"/>
      <c r="E5" s="57"/>
      <c r="I5" s="59"/>
      <c r="J5" s="59"/>
      <c r="L5" s="59"/>
    </row>
    <row r="6" spans="2:12">
      <c r="B6" s="64"/>
      <c r="C6" s="65"/>
      <c r="D6" s="66"/>
      <c r="E6" s="57"/>
      <c r="I6" s="59"/>
      <c r="J6" s="59"/>
      <c r="L6" s="59"/>
    </row>
    <row r="7" spans="2:12">
      <c r="B7" s="64"/>
      <c r="C7" s="65"/>
      <c r="D7" s="66"/>
      <c r="E7" s="57"/>
      <c r="I7" s="59"/>
      <c r="J7" s="59"/>
      <c r="L7" s="59"/>
    </row>
    <row r="8" spans="2:12">
      <c r="B8" s="64"/>
      <c r="C8" s="65"/>
      <c r="D8" s="66"/>
      <c r="E8" s="57"/>
      <c r="I8" s="59"/>
      <c r="J8" s="59"/>
      <c r="L8" s="59"/>
    </row>
    <row r="9" spans="2:12">
      <c r="B9" s="67" t="s">
        <v>2</v>
      </c>
      <c r="C9" s="68"/>
      <c r="D9" s="69" t="s">
        <v>3</v>
      </c>
      <c r="E9" s="70"/>
      <c r="F9" s="70"/>
      <c r="G9" s="70"/>
      <c r="H9" s="70"/>
      <c r="I9" s="70"/>
      <c r="J9" s="70"/>
      <c r="K9" s="70"/>
      <c r="L9" s="59"/>
    </row>
    <row r="10" spans="2:12">
      <c r="B10" s="67" t="s">
        <v>4</v>
      </c>
      <c r="C10" s="68"/>
      <c r="D10" s="69" t="s">
        <v>5</v>
      </c>
      <c r="E10" s="57"/>
      <c r="H10" s="57"/>
      <c r="I10" s="71"/>
      <c r="J10" s="71"/>
      <c r="K10" s="71"/>
      <c r="L10" s="59"/>
    </row>
    <row r="11" spans="2:12">
      <c r="B11" s="67" t="s">
        <v>6</v>
      </c>
      <c r="C11" s="68"/>
      <c r="D11" s="72">
        <v>46240</v>
      </c>
      <c r="E11" s="57"/>
      <c r="H11" s="57"/>
      <c r="I11" s="57"/>
      <c r="J11" s="57"/>
      <c r="K11" s="71"/>
    </row>
    <row r="12" ht="13.5" spans="2:12">
      <c r="B12" s="73" t="s">
        <v>7</v>
      </c>
      <c r="C12" s="74"/>
      <c r="D12" s="75">
        <v>46246</v>
      </c>
      <c r="E12" s="57"/>
      <c r="F12" s="57"/>
      <c r="G12" s="57"/>
      <c r="H12" s="57"/>
      <c r="I12" s="57"/>
      <c r="J12" s="57"/>
      <c r="K12" s="71"/>
    </row>
    <row r="13" spans="2:12">
      <c r="B13" s="59"/>
      <c r="C13" s="59"/>
      <c r="D13" s="59"/>
      <c r="E13" s="59"/>
    </row>
    <row r="14" ht="13.5" spans="2:12">
      <c r="J14" s="76" t="s">
        <v>8</v>
      </c>
      <c r="K14" s="77"/>
    </row>
    <row r="15" spans="2:12">
      <c r="B15" s="78" t="s">
        <v>9</v>
      </c>
      <c r="C15" s="79" t="s">
        <v>10</v>
      </c>
      <c r="D15" s="80" t="s">
        <v>11</v>
      </c>
      <c r="E15" s="80" t="s">
        <v>12</v>
      </c>
      <c r="F15" s="80" t="s">
        <v>13</v>
      </c>
      <c r="G15" s="80" t="s">
        <v>14</v>
      </c>
      <c r="H15" s="80" t="s">
        <v>15</v>
      </c>
      <c r="I15" s="80" t="s">
        <v>16</v>
      </c>
      <c r="J15" s="80" t="s">
        <v>17</v>
      </c>
      <c r="K15" s="81" t="s">
        <v>18</v>
      </c>
    </row>
    <row r="16" spans="2:12">
      <c r="B16" s="82">
        <v>1</v>
      </c>
      <c r="C16" s="83" t="s">
        <v>19</v>
      </c>
      <c r="D16" s="84"/>
      <c r="E16" s="85"/>
      <c r="F16" s="85"/>
      <c r="G16" s="85"/>
      <c r="H16" s="85"/>
      <c r="I16" s="85"/>
      <c r="J16" s="85"/>
      <c r="K16" s="86"/>
    </row>
    <row r="17" spans="2:19">
      <c r="B17" s="87">
        <v>1.1</v>
      </c>
      <c r="C17" s="88" t="s">
        <v>20</v>
      </c>
      <c r="D17" s="89">
        <v>2243677.92914679</v>
      </c>
      <c r="E17" s="89">
        <v>2245537.62562844</v>
      </c>
      <c r="F17" s="89">
        <v>2242572.87846221</v>
      </c>
      <c r="G17" s="89">
        <v>2241277.66794471</v>
      </c>
      <c r="H17" s="89">
        <v>2245673.22746271</v>
      </c>
      <c r="I17" s="89">
        <v>2251043.27852654</v>
      </c>
      <c r="J17" s="89">
        <v>2248921.85599923</v>
      </c>
      <c r="K17" s="90">
        <f>AVERAGE(D17:J17)</f>
        <v>2245529.20902438</v>
      </c>
      <c r="L17" s="91"/>
      <c r="M17" s="91"/>
    </row>
    <row r="18" spans="2:19">
      <c r="B18" s="87">
        <v>1.2</v>
      </c>
      <c r="C18" s="88" t="s">
        <v>21</v>
      </c>
      <c r="D18" s="92">
        <f>D17*0.15</f>
        <v>336551.689372019</v>
      </c>
      <c r="E18" s="92">
        <f t="shared" ref="E18:J18" si="0">E17*0.15</f>
        <v>336830.643844266</v>
      </c>
      <c r="F18" s="92">
        <f t="shared" si="0"/>
        <v>336385.931769331</v>
      </c>
      <c r="G18" s="92">
        <f t="shared" si="0"/>
        <v>336191.650191706</v>
      </c>
      <c r="H18" s="92">
        <f t="shared" si="0"/>
        <v>336850.984119406</v>
      </c>
      <c r="I18" s="92">
        <f t="shared" si="0"/>
        <v>337656.491778981</v>
      </c>
      <c r="J18" s="92">
        <f t="shared" si="0"/>
        <v>337338.278399884</v>
      </c>
      <c r="K18" s="90">
        <f t="shared" ref="K18:K27" si="1">AVERAGE(D18:J18)</f>
        <v>336829.381353656</v>
      </c>
      <c r="L18" s="91"/>
      <c r="M18" s="91"/>
    </row>
    <row r="19" spans="2:19">
      <c r="B19" s="82">
        <v>2</v>
      </c>
      <c r="C19" s="83" t="s">
        <v>22</v>
      </c>
      <c r="D19" s="93"/>
      <c r="E19" s="94"/>
      <c r="F19" s="94"/>
      <c r="G19" s="94"/>
      <c r="H19" s="94"/>
      <c r="I19" s="94"/>
      <c r="J19" s="94"/>
      <c r="K19" s="90"/>
      <c r="L19" s="91"/>
      <c r="M19" s="91"/>
    </row>
    <row r="20" spans="2:19">
      <c r="B20" s="87">
        <v>2.1</v>
      </c>
      <c r="C20" s="88" t="s">
        <v>23</v>
      </c>
      <c r="D20" s="95">
        <v>37441.27445472</v>
      </c>
      <c r="E20" s="95">
        <v>37341.30224254</v>
      </c>
      <c r="F20" s="95">
        <v>37019.91012863</v>
      </c>
      <c r="G20" s="95">
        <v>36112.52690988</v>
      </c>
      <c r="H20" s="95">
        <v>37137.433134</v>
      </c>
      <c r="I20" s="95">
        <v>37667.25342624</v>
      </c>
      <c r="J20" s="95">
        <v>39280.58763095</v>
      </c>
      <c r="K20" s="96">
        <f t="shared" si="1"/>
        <v>37428.6125609943</v>
      </c>
      <c r="L20" s="91"/>
      <c r="M20" s="91"/>
    </row>
    <row r="21" spans="2:19">
      <c r="B21" s="87">
        <v>2.2</v>
      </c>
      <c r="C21" s="88" t="s">
        <v>24</v>
      </c>
      <c r="D21" s="95">
        <v>515629.80603682</v>
      </c>
      <c r="E21" s="95">
        <v>512829.26952393</v>
      </c>
      <c r="F21" s="95">
        <v>511025.42034643</v>
      </c>
      <c r="G21" s="95">
        <v>511025.42034643</v>
      </c>
      <c r="H21" s="95">
        <v>517292.15631748</v>
      </c>
      <c r="I21" s="95">
        <v>520948.17449176</v>
      </c>
      <c r="J21" s="95">
        <v>519634.3545592</v>
      </c>
      <c r="K21" s="96">
        <f t="shared" si="1"/>
        <v>515483.514517436</v>
      </c>
      <c r="L21" s="91"/>
      <c r="M21" s="91"/>
    </row>
    <row r="22" spans="2:19">
      <c r="B22" s="87">
        <v>2.3</v>
      </c>
      <c r="C22" s="88" t="s">
        <v>25</v>
      </c>
      <c r="D22" s="95">
        <v>136648.723109725</v>
      </c>
      <c r="E22" s="95">
        <v>134675.835078269</v>
      </c>
      <c r="F22" s="95">
        <v>134675.835078269</v>
      </c>
      <c r="G22" s="95">
        <v>134675.835078269</v>
      </c>
      <c r="H22" s="95">
        <v>128272.079178688</v>
      </c>
      <c r="I22" s="95">
        <v>128762.661748626</v>
      </c>
      <c r="J22" s="95">
        <v>126123.193776678</v>
      </c>
      <c r="K22" s="96">
        <f t="shared" si="1"/>
        <v>131976.309006932</v>
      </c>
      <c r="L22" s="91"/>
      <c r="M22" s="91"/>
      <c r="N22" s="97"/>
      <c r="O22" s="97"/>
      <c r="P22" s="97"/>
      <c r="Q22" s="97"/>
    </row>
    <row r="23" spans="2:19">
      <c r="B23" s="87">
        <v>2.4</v>
      </c>
      <c r="C23" s="88" t="s">
        <v>26</v>
      </c>
      <c r="D23" s="95">
        <v>206396.18652702</v>
      </c>
      <c r="E23" s="95">
        <v>203158.31165958</v>
      </c>
      <c r="F23" s="95">
        <v>203214.1795508</v>
      </c>
      <c r="G23" s="95">
        <v>203270.04744201</v>
      </c>
      <c r="H23" s="95">
        <v>203325.91533324</v>
      </c>
      <c r="I23" s="95">
        <v>203381.78322438</v>
      </c>
      <c r="J23" s="95">
        <v>203437.65111562</v>
      </c>
      <c r="K23" s="96">
        <f t="shared" si="1"/>
        <v>203740.582121807</v>
      </c>
      <c r="L23" s="91"/>
      <c r="M23" s="91"/>
    </row>
    <row r="24" spans="2:19">
      <c r="B24" s="87">
        <v>2.5</v>
      </c>
      <c r="C24" s="88" t="s">
        <v>27</v>
      </c>
      <c r="D24" s="89"/>
      <c r="E24" s="89"/>
      <c r="F24" s="89"/>
      <c r="G24" s="89"/>
      <c r="H24" s="89"/>
      <c r="I24" s="89"/>
      <c r="J24" s="89"/>
      <c r="K24" s="90"/>
      <c r="L24" s="91"/>
      <c r="M24" s="91"/>
    </row>
    <row r="25" spans="2:19">
      <c r="B25" s="87">
        <v>2.6</v>
      </c>
      <c r="C25" s="88" t="s">
        <v>28</v>
      </c>
      <c r="D25" s="89"/>
      <c r="E25" s="89"/>
      <c r="F25" s="89"/>
      <c r="G25" s="89"/>
      <c r="H25" s="89"/>
      <c r="I25" s="89"/>
      <c r="J25" s="89"/>
      <c r="K25" s="90"/>
      <c r="L25" s="91"/>
      <c r="M25" s="91"/>
    </row>
    <row r="26" s="57" customFormat="1" spans="2:19">
      <c r="B26" s="82">
        <v>2.7</v>
      </c>
      <c r="C26" s="83" t="s">
        <v>29</v>
      </c>
      <c r="D26" s="98">
        <f>SUM(D20:D25)</f>
        <v>896115.990128285</v>
      </c>
      <c r="E26" s="98">
        <f t="shared" ref="E26:J26" si="2">SUM(E20:E25)</f>
        <v>888004.718504319</v>
      </c>
      <c r="F26" s="98">
        <f t="shared" si="2"/>
        <v>885935.345104129</v>
      </c>
      <c r="G26" s="98">
        <f t="shared" si="2"/>
        <v>885083.829776589</v>
      </c>
      <c r="H26" s="98">
        <f t="shared" si="2"/>
        <v>886027.583963408</v>
      </c>
      <c r="I26" s="98">
        <f t="shared" si="2"/>
        <v>890759.872891005</v>
      </c>
      <c r="J26" s="98">
        <f t="shared" si="2"/>
        <v>888475.787082448</v>
      </c>
      <c r="K26" s="90">
        <f t="shared" si="1"/>
        <v>888629.018207169</v>
      </c>
      <c r="L26" s="91"/>
      <c r="M26" s="91"/>
      <c r="N26" s="71"/>
      <c r="O26" s="71"/>
      <c r="P26" s="71"/>
      <c r="Q26" s="71"/>
    </row>
    <row r="27" spans="2:19">
      <c r="B27" s="87">
        <v>3</v>
      </c>
      <c r="C27" s="88" t="s">
        <v>30</v>
      </c>
      <c r="D27" s="92">
        <f>D26-D18</f>
        <v>559564.300756267</v>
      </c>
      <c r="E27" s="92">
        <f t="shared" ref="E27:J27" si="3">E26-E18</f>
        <v>551174.074660053</v>
      </c>
      <c r="F27" s="92">
        <f t="shared" si="3"/>
        <v>549549.413334797</v>
      </c>
      <c r="G27" s="92">
        <f t="shared" si="3"/>
        <v>548892.179584882</v>
      </c>
      <c r="H27" s="92">
        <f t="shared" si="3"/>
        <v>549176.599844001</v>
      </c>
      <c r="I27" s="92">
        <f t="shared" si="3"/>
        <v>553103.381112024</v>
      </c>
      <c r="J27" s="92">
        <f t="shared" si="3"/>
        <v>551137.508682564</v>
      </c>
      <c r="K27" s="90">
        <f t="shared" si="1"/>
        <v>551799.636853513</v>
      </c>
      <c r="L27" s="91"/>
      <c r="M27" s="91"/>
    </row>
    <row r="28" ht="13.5" spans="2:19">
      <c r="B28" s="99">
        <v>4</v>
      </c>
      <c r="C28" s="100" t="s">
        <v>31</v>
      </c>
      <c r="D28" s="101">
        <f>D26/D17*100</f>
        <v>39.9395999972712</v>
      </c>
      <c r="E28" s="101">
        <f t="shared" ref="E28:K28" si="4">E26/E17*100</f>
        <v>39.5453056929206</v>
      </c>
      <c r="F28" s="101">
        <f t="shared" si="4"/>
        <v>39.5053089963184</v>
      </c>
      <c r="G28" s="101">
        <f t="shared" si="4"/>
        <v>39.4901462873284</v>
      </c>
      <c r="H28" s="101">
        <f t="shared" si="4"/>
        <v>39.4548758531753</v>
      </c>
      <c r="I28" s="101">
        <f t="shared" si="4"/>
        <v>39.5709794382127</v>
      </c>
      <c r="J28" s="101">
        <f t="shared" si="4"/>
        <v>39.5067434073953</v>
      </c>
      <c r="K28" s="102">
        <f t="shared" si="4"/>
        <v>39.573255811411</v>
      </c>
      <c r="L28" s="91"/>
      <c r="M28" s="91"/>
      <c r="R28" s="91"/>
      <c r="S28" s="91"/>
    </row>
    <row r="29" spans="2:19">
      <c r="B29" s="103" t="s">
        <v>32</v>
      </c>
      <c r="C29" s="103"/>
      <c r="D29" s="103"/>
      <c r="E29" s="103"/>
      <c r="F29" s="103"/>
      <c r="G29" s="104"/>
      <c r="H29" s="104"/>
      <c r="I29" s="103"/>
      <c r="J29" s="103"/>
      <c r="K29" s="103"/>
      <c r="L29" s="91"/>
      <c r="M29" s="91"/>
      <c r="R29" s="91"/>
    </row>
    <row r="30" spans="2:19">
      <c r="B30" s="91"/>
      <c r="C30" s="91"/>
      <c r="D30" s="59"/>
      <c r="E30" s="59"/>
      <c r="F30" s="59"/>
      <c r="G30" s="59"/>
      <c r="H30" s="59"/>
      <c r="I30" s="59"/>
      <c r="J30" s="59"/>
    </row>
    <row r="31" spans="2:19">
      <c r="B31" s="91"/>
      <c r="C31" s="91"/>
      <c r="D31" s="59"/>
      <c r="E31" s="59"/>
      <c r="F31" s="59"/>
      <c r="G31" s="59"/>
      <c r="H31" s="59"/>
      <c r="I31" s="59"/>
      <c r="J31" s="59"/>
      <c r="K31" s="91"/>
    </row>
    <row r="32" spans="2:19">
      <c r="B32" s="105" t="s">
        <v>33</v>
      </c>
      <c r="C32" s="105"/>
      <c r="D32" s="105"/>
      <c r="E32" s="105"/>
      <c r="F32" s="105"/>
      <c r="G32" s="105"/>
      <c r="H32" s="105"/>
      <c r="I32" s="105"/>
      <c r="J32" s="105"/>
      <c r="K32" s="105"/>
    </row>
    <row r="33" spans="4:17">
      <c r="K33" s="58"/>
      <c r="N33" s="58"/>
      <c r="O33" s="58"/>
      <c r="P33" s="58"/>
      <c r="Q33" s="58"/>
    </row>
    <row r="34" ht="13.5"/>
    <row r="35" spans="4:17">
      <c r="D35" s="106">
        <v>2244806.70453609</v>
      </c>
      <c r="E35" s="107">
        <v>2245537.62562844</v>
      </c>
      <c r="F35" s="107">
        <v>2242572.87846221</v>
      </c>
      <c r="G35" s="107">
        <v>2241277.66794471</v>
      </c>
      <c r="H35" s="107">
        <v>2245673.22746271</v>
      </c>
      <c r="I35" s="107">
        <v>2251043.27852654</v>
      </c>
      <c r="J35" s="107">
        <v>2248921.85599923</v>
      </c>
      <c r="K35" s="108">
        <v>2245690.46265142</v>
      </c>
    </row>
    <row r="36" spans="4:17">
      <c r="D36" s="109">
        <v>336721.005680413</v>
      </c>
      <c r="E36" s="110">
        <v>336830.643844266</v>
      </c>
      <c r="F36" s="110">
        <v>336385.931769331</v>
      </c>
      <c r="G36" s="110">
        <v>336191.650191706</v>
      </c>
      <c r="H36" s="110">
        <v>336850.984119406</v>
      </c>
      <c r="I36" s="110">
        <v>337656.491778981</v>
      </c>
      <c r="J36" s="110">
        <v>337338.278399884</v>
      </c>
      <c r="K36" s="111">
        <v>336853.569397713</v>
      </c>
    </row>
    <row r="37" spans="4:17">
      <c r="D37" s="109"/>
      <c r="E37" s="110"/>
      <c r="F37" s="110"/>
      <c r="G37" s="110"/>
      <c r="H37" s="110"/>
      <c r="I37" s="110"/>
      <c r="J37" s="110"/>
      <c r="K37" s="111"/>
    </row>
    <row r="38" spans="4:17">
      <c r="D38" s="109">
        <v>37447.93445472</v>
      </c>
      <c r="E38" s="110">
        <v>37341.30224254</v>
      </c>
      <c r="F38" s="110">
        <v>37019.91012863</v>
      </c>
      <c r="G38" s="110">
        <v>36112.52690988</v>
      </c>
      <c r="H38" s="110">
        <v>37137.433134</v>
      </c>
      <c r="I38" s="110">
        <v>37667.25342624</v>
      </c>
      <c r="J38" s="110">
        <v>39280.58763095</v>
      </c>
      <c r="K38" s="111">
        <v>37429.5639895657</v>
      </c>
    </row>
    <row r="39" spans="4:17">
      <c r="D39" s="109">
        <v>515629.80603682</v>
      </c>
      <c r="E39" s="110">
        <v>512829.26952393</v>
      </c>
      <c r="F39" s="110">
        <v>511025.42034643</v>
      </c>
      <c r="G39" s="110">
        <v>511025.42034643</v>
      </c>
      <c r="H39" s="110">
        <v>517292.15631748</v>
      </c>
      <c r="I39" s="110">
        <v>520948.17449176</v>
      </c>
      <c r="J39" s="110">
        <v>519634.3545592</v>
      </c>
      <c r="K39" s="111">
        <v>515483.514517436</v>
      </c>
    </row>
    <row r="40" spans="4:17">
      <c r="D40" s="109">
        <v>136648.723109725</v>
      </c>
      <c r="E40" s="110">
        <v>134675.835078269</v>
      </c>
      <c r="F40" s="110">
        <v>134675.835078269</v>
      </c>
      <c r="G40" s="110">
        <v>134675.835078269</v>
      </c>
      <c r="H40" s="110">
        <v>128272.079178688</v>
      </c>
      <c r="I40" s="110">
        <v>128762.661748626</v>
      </c>
      <c r="J40" s="110">
        <v>126123.193776678</v>
      </c>
      <c r="K40" s="111">
        <v>131976.309006932</v>
      </c>
    </row>
    <row r="41" spans="4:17">
      <c r="D41" s="109">
        <v>206396.18652702</v>
      </c>
      <c r="E41" s="110">
        <v>203158.31165958</v>
      </c>
      <c r="F41" s="110">
        <v>203214.1795508</v>
      </c>
      <c r="G41" s="110">
        <v>203270.04744201</v>
      </c>
      <c r="H41" s="110">
        <v>203325.91533324</v>
      </c>
      <c r="I41" s="110">
        <v>203381.78322438</v>
      </c>
      <c r="J41" s="110">
        <v>203437.65111562</v>
      </c>
      <c r="K41" s="111">
        <v>203740.582121807</v>
      </c>
    </row>
    <row r="42" spans="4:17">
      <c r="D42" s="109"/>
      <c r="E42" s="110"/>
      <c r="F42" s="110"/>
      <c r="G42" s="110"/>
      <c r="H42" s="110"/>
      <c r="I42" s="110"/>
      <c r="J42" s="110"/>
      <c r="K42" s="111">
        <v>0</v>
      </c>
    </row>
    <row r="43" spans="4:17">
      <c r="D43" s="109"/>
      <c r="E43" s="110"/>
      <c r="F43" s="110"/>
      <c r="G43" s="110"/>
      <c r="H43" s="110"/>
      <c r="I43" s="110"/>
      <c r="J43" s="110"/>
      <c r="K43" s="111">
        <v>0</v>
      </c>
    </row>
    <row r="44" spans="4:17">
      <c r="D44" s="109">
        <v>896122.650128285</v>
      </c>
      <c r="E44" s="110">
        <v>888004.718504319</v>
      </c>
      <c r="F44" s="110">
        <v>885935.345104129</v>
      </c>
      <c r="G44" s="110">
        <v>885083.829776589</v>
      </c>
      <c r="H44" s="110">
        <v>886027.583963408</v>
      </c>
      <c r="I44" s="110">
        <v>890759.872891005</v>
      </c>
      <c r="J44" s="110">
        <v>888475.787082448</v>
      </c>
      <c r="K44" s="111">
        <v>888629.96963574</v>
      </c>
    </row>
    <row r="45" spans="4:17">
      <c r="D45" s="109">
        <v>559401.644447872</v>
      </c>
      <c r="E45" s="110">
        <v>551174.074660053</v>
      </c>
      <c r="F45" s="110">
        <v>549549.413334797</v>
      </c>
      <c r="G45" s="110">
        <v>548892.179584882</v>
      </c>
      <c r="H45" s="110">
        <v>549176.599844001</v>
      </c>
      <c r="I45" s="110">
        <v>553103.381112024</v>
      </c>
      <c r="J45" s="110">
        <v>551137.508682564</v>
      </c>
      <c r="K45" s="111">
        <v>551776.400238028</v>
      </c>
    </row>
    <row r="46" spans="4:17">
      <c r="D46" s="109">
        <v>39.9198135107796</v>
      </c>
      <c r="E46" s="110">
        <v>39.5453056929206</v>
      </c>
      <c r="F46" s="110">
        <v>39.5053089963184</v>
      </c>
      <c r="G46" s="110">
        <v>39.4901462873284</v>
      </c>
      <c r="H46" s="110">
        <v>39.4548758531753</v>
      </c>
      <c r="I46" s="110">
        <v>39.5709794382127</v>
      </c>
      <c r="J46" s="110">
        <v>39.5067434073953</v>
      </c>
      <c r="K46" s="111">
        <v>39.5704565885078</v>
      </c>
    </row>
    <row r="47" spans="4:17">
      <c r="D47" s="109"/>
      <c r="E47" s="110"/>
      <c r="F47" s="110"/>
      <c r="G47" s="110"/>
      <c r="H47" s="110"/>
      <c r="I47" s="110"/>
      <c r="J47" s="110"/>
      <c r="K47" s="111"/>
    </row>
    <row r="48" spans="4:17">
      <c r="D48" s="112">
        <f>D17-D35</f>
        <v>-1128.77538929973</v>
      </c>
      <c r="E48" s="113">
        <f t="shared" ref="E48:K48" si="5">E17-E35</f>
        <v>0</v>
      </c>
      <c r="F48" s="113">
        <f t="shared" si="5"/>
        <v>0</v>
      </c>
      <c r="G48" s="113">
        <f t="shared" si="5"/>
        <v>0</v>
      </c>
      <c r="H48" s="113">
        <f t="shared" si="5"/>
        <v>0</v>
      </c>
      <c r="I48" s="113">
        <f t="shared" si="5"/>
        <v>0</v>
      </c>
      <c r="J48" s="113">
        <f t="shared" si="5"/>
        <v>0</v>
      </c>
      <c r="K48" s="114">
        <f t="shared" si="5"/>
        <v>-161.253627043217</v>
      </c>
    </row>
    <row r="49" spans="4:11">
      <c r="D49" s="112">
        <f t="shared" ref="D49:K59" si="6">D18-D36</f>
        <v>-169.316308394948</v>
      </c>
      <c r="E49" s="113">
        <f t="shared" si="6"/>
        <v>0</v>
      </c>
      <c r="F49" s="113">
        <f t="shared" si="6"/>
        <v>0</v>
      </c>
      <c r="G49" s="113">
        <f t="shared" si="6"/>
        <v>0</v>
      </c>
      <c r="H49" s="113">
        <f t="shared" si="6"/>
        <v>0</v>
      </c>
      <c r="I49" s="113">
        <f t="shared" si="6"/>
        <v>0</v>
      </c>
      <c r="J49" s="113">
        <f t="shared" si="6"/>
        <v>0</v>
      </c>
      <c r="K49" s="114">
        <f t="shared" si="6"/>
        <v>-24.188044056471</v>
      </c>
    </row>
    <row r="50" spans="4:11">
      <c r="D50" s="112">
        <f t="shared" si="6"/>
        <v>0</v>
      </c>
      <c r="E50" s="113">
        <f t="shared" si="6"/>
        <v>0</v>
      </c>
      <c r="F50" s="113">
        <f t="shared" si="6"/>
        <v>0</v>
      </c>
      <c r="G50" s="113">
        <f t="shared" si="6"/>
        <v>0</v>
      </c>
      <c r="H50" s="113">
        <f t="shared" si="6"/>
        <v>0</v>
      </c>
      <c r="I50" s="113">
        <f t="shared" si="6"/>
        <v>0</v>
      </c>
      <c r="J50" s="113">
        <f t="shared" si="6"/>
        <v>0</v>
      </c>
      <c r="K50" s="114">
        <f t="shared" si="6"/>
        <v>0</v>
      </c>
    </row>
    <row r="51" spans="4:11">
      <c r="D51" s="112">
        <f t="shared" si="6"/>
        <v>-6.66000000000349</v>
      </c>
      <c r="E51" s="113">
        <f t="shared" si="6"/>
        <v>0</v>
      </c>
      <c r="F51" s="113">
        <f t="shared" si="6"/>
        <v>0</v>
      </c>
      <c r="G51" s="113">
        <f t="shared" si="6"/>
        <v>0</v>
      </c>
      <c r="H51" s="113">
        <f t="shared" si="6"/>
        <v>0</v>
      </c>
      <c r="I51" s="113">
        <f t="shared" si="6"/>
        <v>0</v>
      </c>
      <c r="J51" s="113">
        <f t="shared" si="6"/>
        <v>0</v>
      </c>
      <c r="K51" s="114">
        <f t="shared" si="6"/>
        <v>-0.951428571432189</v>
      </c>
    </row>
    <row r="52" spans="4:11">
      <c r="D52" s="112">
        <f t="shared" si="6"/>
        <v>0</v>
      </c>
      <c r="E52" s="113">
        <f t="shared" si="6"/>
        <v>0</v>
      </c>
      <c r="F52" s="113">
        <f t="shared" si="6"/>
        <v>0</v>
      </c>
      <c r="G52" s="113">
        <f t="shared" si="6"/>
        <v>0</v>
      </c>
      <c r="H52" s="113">
        <f t="shared" si="6"/>
        <v>0</v>
      </c>
      <c r="I52" s="113">
        <f t="shared" si="6"/>
        <v>0</v>
      </c>
      <c r="J52" s="113">
        <f t="shared" si="6"/>
        <v>0</v>
      </c>
      <c r="K52" s="114">
        <f t="shared" si="6"/>
        <v>0</v>
      </c>
    </row>
    <row r="53" spans="4:11">
      <c r="D53" s="112">
        <f t="shared" si="6"/>
        <v>0</v>
      </c>
      <c r="E53" s="113">
        <f t="shared" si="6"/>
        <v>0</v>
      </c>
      <c r="F53" s="113">
        <f t="shared" si="6"/>
        <v>0</v>
      </c>
      <c r="G53" s="113">
        <f t="shared" si="6"/>
        <v>0</v>
      </c>
      <c r="H53" s="113">
        <f t="shared" si="6"/>
        <v>0</v>
      </c>
      <c r="I53" s="113">
        <f t="shared" si="6"/>
        <v>0</v>
      </c>
      <c r="J53" s="113">
        <f t="shared" si="6"/>
        <v>0</v>
      </c>
      <c r="K53" s="114">
        <f t="shared" si="6"/>
        <v>0</v>
      </c>
    </row>
    <row r="54" spans="4:11">
      <c r="D54" s="112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4">
        <f t="shared" si="6"/>
        <v>0</v>
      </c>
    </row>
    <row r="55" spans="4:11">
      <c r="D55" s="112">
        <f t="shared" si="6"/>
        <v>0</v>
      </c>
      <c r="E55" s="113">
        <f t="shared" si="6"/>
        <v>0</v>
      </c>
      <c r="F55" s="113">
        <f t="shared" si="6"/>
        <v>0</v>
      </c>
      <c r="G55" s="113">
        <f t="shared" si="6"/>
        <v>0</v>
      </c>
      <c r="H55" s="113">
        <f t="shared" si="6"/>
        <v>0</v>
      </c>
      <c r="I55" s="113">
        <f t="shared" si="6"/>
        <v>0</v>
      </c>
      <c r="J55" s="113">
        <f t="shared" si="6"/>
        <v>0</v>
      </c>
      <c r="K55" s="114">
        <f t="shared" si="6"/>
        <v>0</v>
      </c>
    </row>
    <row r="56" spans="4:11">
      <c r="D56" s="112">
        <f t="shared" si="6"/>
        <v>0</v>
      </c>
      <c r="E56" s="113">
        <f t="shared" si="6"/>
        <v>0</v>
      </c>
      <c r="F56" s="113">
        <f t="shared" si="6"/>
        <v>0</v>
      </c>
      <c r="G56" s="113">
        <f t="shared" si="6"/>
        <v>0</v>
      </c>
      <c r="H56" s="113">
        <f t="shared" si="6"/>
        <v>0</v>
      </c>
      <c r="I56" s="113">
        <f t="shared" si="6"/>
        <v>0</v>
      </c>
      <c r="J56" s="113">
        <f t="shared" si="6"/>
        <v>0</v>
      </c>
      <c r="K56" s="114">
        <f t="shared" si="6"/>
        <v>0</v>
      </c>
    </row>
    <row r="57" spans="4:11">
      <c r="D57" s="112">
        <f t="shared" si="6"/>
        <v>-6.65999999991618</v>
      </c>
      <c r="E57" s="113">
        <f t="shared" si="6"/>
        <v>0</v>
      </c>
      <c r="F57" s="113">
        <f t="shared" si="6"/>
        <v>0</v>
      </c>
      <c r="G57" s="113">
        <f t="shared" si="6"/>
        <v>0</v>
      </c>
      <c r="H57" s="113">
        <f t="shared" si="6"/>
        <v>0</v>
      </c>
      <c r="I57" s="113">
        <f t="shared" si="6"/>
        <v>0</v>
      </c>
      <c r="J57" s="113">
        <f t="shared" si="6"/>
        <v>0</v>
      </c>
      <c r="K57" s="114">
        <f t="shared" si="6"/>
        <v>-0.951428571366705</v>
      </c>
    </row>
    <row r="58" spans="4:11">
      <c r="D58" s="112">
        <f t="shared" si="6"/>
        <v>162.656308394973</v>
      </c>
      <c r="E58" s="113">
        <f t="shared" si="6"/>
        <v>0</v>
      </c>
      <c r="F58" s="113">
        <f t="shared" si="6"/>
        <v>0</v>
      </c>
      <c r="G58" s="113">
        <f t="shared" si="6"/>
        <v>0</v>
      </c>
      <c r="H58" s="113">
        <f t="shared" si="6"/>
        <v>0</v>
      </c>
      <c r="I58" s="113">
        <f t="shared" si="6"/>
        <v>0</v>
      </c>
      <c r="J58" s="113">
        <f t="shared" si="6"/>
        <v>0</v>
      </c>
      <c r="K58" s="114">
        <f t="shared" si="6"/>
        <v>23.2366154850461</v>
      </c>
    </row>
    <row r="59" ht="13.5" spans="4:11">
      <c r="D59" s="115">
        <f t="shared" si="6"/>
        <v>0.0197864864915331</v>
      </c>
      <c r="E59" s="116">
        <f t="shared" si="6"/>
        <v>0</v>
      </c>
      <c r="F59" s="116">
        <f t="shared" si="6"/>
        <v>0</v>
      </c>
      <c r="G59" s="116">
        <f t="shared" si="6"/>
        <v>0</v>
      </c>
      <c r="H59" s="116">
        <f t="shared" si="6"/>
        <v>0</v>
      </c>
      <c r="I59" s="116">
        <f t="shared" si="6"/>
        <v>0</v>
      </c>
      <c r="J59" s="116">
        <f t="shared" si="6"/>
        <v>0</v>
      </c>
      <c r="K59" s="117">
        <f t="shared" si="6"/>
        <v>0.00279922290311418</v>
      </c>
    </row>
    <row r="60" spans="4:11">
      <c r="D60" s="118"/>
    </row>
    <row r="61" spans="4:11">
      <c r="D61" s="118"/>
    </row>
    <row r="62" spans="4:11">
      <c r="D62" s="118"/>
    </row>
  </sheetData>
  <mergeCells count="5">
    <mergeCell ref="B2:C2"/>
    <mergeCell ref="J14:K14"/>
    <mergeCell ref="B29:K29"/>
    <mergeCell ref="B32:K32"/>
    <mergeCell ref="B5:D8"/>
  </mergeCells>
  <printOptions horizontalCentered="1" verticalCentered="1"/>
  <pageMargins left="0.196850393700787" right="0.118110236220472" top="0.196850393700787" bottom="0" header="0.196850393700787" footer="0"/>
  <pageSetup paperSize="9" scale="77" orientation="landscape"/>
  <headerFooter>
    <oddFooter>&amp;CPage &amp;P of &amp;N</oddFooter>
  </headerFooter>
  <ignoredErrors>
    <ignoredError sqref="D9:D10" numberStoredAsText="1"/>
    <ignoredError sqref="D26:J2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3"/>
  <sheetViews>
    <sheetView tabSelected="1" topLeftCell="A10" workbookViewId="0">
      <selection activeCell="B29" sqref="B29:K29"/>
    </sheetView>
  </sheetViews>
  <sheetFormatPr defaultColWidth="9" defaultRowHeight="12.75"/>
  <cols>
    <col min="1" max="1" width="9" style="1"/>
    <col min="2" max="2" width="16.5714285714286" style="1" customWidth="1"/>
    <col min="3" max="3" width="37.4285714285714" style="1" customWidth="1"/>
    <col min="4" max="10" width="12.1428571428571" style="1" customWidth="1"/>
    <col min="11" max="11" width="12.4285714285714" style="1" customWidth="1"/>
    <col min="12" max="16384" width="9" style="1"/>
  </cols>
  <sheetData>
    <row r="2" spans="2:11">
      <c r="B2" s="1" t="s">
        <v>0</v>
      </c>
    </row>
    <row r="4" ht="13.5"/>
    <row r="5" ht="15" customHeight="1" spans="2:11">
      <c r="B5" s="2" t="s">
        <v>1</v>
      </c>
      <c r="C5" s="3"/>
      <c r="D5" s="4"/>
    </row>
    <row r="6" ht="15" customHeight="1" spans="2:11">
      <c r="B6" s="5"/>
      <c r="C6" s="6"/>
      <c r="D6" s="7"/>
    </row>
    <row r="7" ht="15" customHeight="1" spans="2:11">
      <c r="B7" s="5"/>
      <c r="C7" s="6"/>
      <c r="D7" s="7"/>
    </row>
    <row r="8" ht="15" customHeight="1" spans="2:11">
      <c r="B8" s="8"/>
      <c r="C8" s="9"/>
      <c r="D8" s="10"/>
    </row>
    <row r="9" ht="13.5" spans="2:11">
      <c r="B9" s="11" t="s">
        <v>34</v>
      </c>
      <c r="C9" s="11"/>
      <c r="D9" s="12" t="s">
        <v>3</v>
      </c>
      <c r="E9" s="13"/>
      <c r="F9" s="13"/>
      <c r="G9" s="13"/>
      <c r="H9" s="13"/>
      <c r="I9" s="13"/>
      <c r="J9" s="13"/>
      <c r="K9" s="13"/>
    </row>
    <row r="10" spans="2:11">
      <c r="B10" s="14" t="s">
        <v>4</v>
      </c>
      <c r="C10" s="14"/>
      <c r="D10" s="15" t="s">
        <v>5</v>
      </c>
      <c r="E10" s="13"/>
      <c r="F10" s="13"/>
      <c r="G10" s="13"/>
      <c r="H10" s="13"/>
      <c r="I10" s="13"/>
      <c r="J10" s="13"/>
      <c r="K10" s="13"/>
    </row>
    <row r="11" spans="2:11">
      <c r="B11" s="14" t="s">
        <v>6</v>
      </c>
      <c r="C11" s="14"/>
      <c r="D11" s="16">
        <v>46240</v>
      </c>
      <c r="E11" s="13"/>
      <c r="F11" s="13"/>
      <c r="G11" s="13"/>
      <c r="H11" s="13"/>
      <c r="I11" s="13"/>
      <c r="J11" s="13"/>
      <c r="K11" s="13"/>
    </row>
    <row r="12" spans="2:11">
      <c r="B12" s="14" t="s">
        <v>7</v>
      </c>
      <c r="C12" s="14"/>
      <c r="D12" s="16">
        <v>46246</v>
      </c>
      <c r="E12" s="13"/>
      <c r="F12" s="13"/>
      <c r="G12" s="13"/>
      <c r="H12" s="13"/>
      <c r="I12" s="13"/>
      <c r="J12" s="13"/>
      <c r="K12" s="13"/>
    </row>
    <row r="14" ht="13.5" spans="2:11">
      <c r="J14" s="17" t="s">
        <v>8</v>
      </c>
      <c r="K14" s="17"/>
    </row>
    <row r="15" ht="25.5" spans="2:11">
      <c r="B15" s="18" t="s">
        <v>35</v>
      </c>
      <c r="C15" s="19" t="s">
        <v>10</v>
      </c>
      <c r="D15" s="20" t="s">
        <v>11</v>
      </c>
      <c r="E15" s="20" t="s">
        <v>12</v>
      </c>
      <c r="F15" s="20" t="s">
        <v>13</v>
      </c>
      <c r="G15" s="20" t="s">
        <v>14</v>
      </c>
      <c r="H15" s="20" t="s">
        <v>15</v>
      </c>
      <c r="I15" s="20" t="s">
        <v>16</v>
      </c>
      <c r="J15" s="20" t="s">
        <v>17</v>
      </c>
      <c r="K15" s="21" t="s">
        <v>18</v>
      </c>
    </row>
    <row r="16" spans="2:11">
      <c r="B16" s="22">
        <v>1</v>
      </c>
      <c r="C16" s="23" t="s">
        <v>19</v>
      </c>
      <c r="D16" s="24"/>
      <c r="E16" s="25"/>
      <c r="F16" s="25"/>
      <c r="G16" s="25"/>
      <c r="H16" s="25"/>
      <c r="I16" s="25"/>
      <c r="J16" s="25"/>
      <c r="K16" s="26"/>
    </row>
    <row r="17" spans="2:11">
      <c r="B17" s="27">
        <v>1.1</v>
      </c>
      <c r="C17" s="28" t="s">
        <v>20</v>
      </c>
      <c r="D17" s="29">
        <v>2243677.92914679</v>
      </c>
      <c r="E17" s="29">
        <v>2245537.62562844</v>
      </c>
      <c r="F17" s="29">
        <v>2242572.87846221</v>
      </c>
      <c r="G17" s="29">
        <v>2241277.66794471</v>
      </c>
      <c r="H17" s="29">
        <v>2245673.22746271</v>
      </c>
      <c r="I17" s="29">
        <v>2251043.27852654</v>
      </c>
      <c r="J17" s="29">
        <v>2248921.85599923</v>
      </c>
      <c r="K17" s="30">
        <f>(D17+E17+F17+G17+H17+I17+J17)/7</f>
        <v>2245529.20902438</v>
      </c>
    </row>
    <row r="18" spans="2:11">
      <c r="B18" s="27">
        <v>1.2</v>
      </c>
      <c r="C18" s="28" t="s">
        <v>21</v>
      </c>
      <c r="D18" s="31">
        <f>0.15*D17</f>
        <v>336551.689372019</v>
      </c>
      <c r="E18" s="31">
        <f t="shared" ref="E18:K18" si="0">0.15*E17</f>
        <v>336830.643844266</v>
      </c>
      <c r="F18" s="31">
        <f t="shared" si="0"/>
        <v>336385.931769331</v>
      </c>
      <c r="G18" s="31">
        <f t="shared" si="0"/>
        <v>336191.650191706</v>
      </c>
      <c r="H18" s="31">
        <f t="shared" si="0"/>
        <v>336850.984119406</v>
      </c>
      <c r="I18" s="31">
        <f t="shared" si="0"/>
        <v>337656.491778981</v>
      </c>
      <c r="J18" s="31">
        <f t="shared" si="0"/>
        <v>337338.278399884</v>
      </c>
      <c r="K18" s="32">
        <f t="shared" si="0"/>
        <v>336829.381353656</v>
      </c>
    </row>
    <row r="19" spans="2:11">
      <c r="B19" s="22">
        <v>2</v>
      </c>
      <c r="C19" s="23" t="s">
        <v>22</v>
      </c>
      <c r="D19" s="33"/>
      <c r="E19" s="34"/>
      <c r="F19" s="34"/>
      <c r="G19" s="35"/>
      <c r="H19" s="34"/>
      <c r="I19" s="34"/>
      <c r="J19" s="34"/>
      <c r="K19" s="30"/>
    </row>
    <row r="20" spans="2:11">
      <c r="B20" s="27">
        <v>2.1</v>
      </c>
      <c r="C20" s="28" t="s">
        <v>23</v>
      </c>
      <c r="D20" s="36">
        <v>37441.27445472</v>
      </c>
      <c r="E20" s="36">
        <v>37341.30224254</v>
      </c>
      <c r="F20" s="37">
        <v>37019.91012863</v>
      </c>
      <c r="G20" s="38">
        <v>36112.52690988</v>
      </c>
      <c r="H20" s="37">
        <v>37137.433134</v>
      </c>
      <c r="I20" s="37">
        <v>37667.25342624</v>
      </c>
      <c r="J20" s="37">
        <v>39280.58763095</v>
      </c>
      <c r="K20" s="30">
        <f>(D20+E20+F20+G20+H20+I20+J20)/7</f>
        <v>37428.6125609943</v>
      </c>
    </row>
    <row r="21" spans="2:11">
      <c r="B21" s="39">
        <v>2.2</v>
      </c>
      <c r="C21" s="40" t="s">
        <v>24</v>
      </c>
      <c r="D21" s="41">
        <v>515629.80603682</v>
      </c>
      <c r="E21" s="42">
        <v>512829.26952393</v>
      </c>
      <c r="F21" s="42">
        <v>511025.42034643</v>
      </c>
      <c r="G21" s="43">
        <v>511025.42034643</v>
      </c>
      <c r="H21" s="42">
        <v>517292.15631748</v>
      </c>
      <c r="I21" s="42">
        <v>520948.17449176</v>
      </c>
      <c r="J21" s="42">
        <v>519634.3545592</v>
      </c>
      <c r="K21" s="44">
        <f t="shared" ref="K21:K25" si="1">(D21+E21+F21+G21+H21+I21+J21)/7</f>
        <v>515483.514517436</v>
      </c>
    </row>
    <row r="22" spans="2:11">
      <c r="B22" s="39">
        <v>2.3</v>
      </c>
      <c r="C22" s="40" t="s">
        <v>25</v>
      </c>
      <c r="D22" s="41">
        <v>136648.723109725</v>
      </c>
      <c r="E22" s="42">
        <v>134675.835078269</v>
      </c>
      <c r="F22" s="42">
        <v>134675.835078269</v>
      </c>
      <c r="G22" s="43">
        <v>134675.835078269</v>
      </c>
      <c r="H22" s="42">
        <v>128272.079178688</v>
      </c>
      <c r="I22" s="42">
        <v>128762.661748626</v>
      </c>
      <c r="J22" s="42">
        <v>126123.193776678</v>
      </c>
      <c r="K22" s="44">
        <f t="shared" si="1"/>
        <v>131976.309006932</v>
      </c>
    </row>
    <row r="23" spans="2:11">
      <c r="B23" s="27">
        <v>2.4</v>
      </c>
      <c r="C23" s="28" t="s">
        <v>26</v>
      </c>
      <c r="D23" s="36">
        <v>206396.18652702</v>
      </c>
      <c r="E23" s="37">
        <v>203158.31165958</v>
      </c>
      <c r="F23" s="37">
        <v>203214.1795508</v>
      </c>
      <c r="G23" s="38">
        <v>203270.04744201</v>
      </c>
      <c r="H23" s="37">
        <v>203325.91533324</v>
      </c>
      <c r="I23" s="37">
        <v>203381.78322438</v>
      </c>
      <c r="J23" s="37">
        <v>203437.65111562</v>
      </c>
      <c r="K23" s="30">
        <f t="shared" si="1"/>
        <v>203740.582121807</v>
      </c>
    </row>
    <row r="24" spans="2:11">
      <c r="B24" s="27">
        <v>2.5</v>
      </c>
      <c r="C24" s="28" t="s">
        <v>27</v>
      </c>
      <c r="D24" s="36"/>
      <c r="E24" s="37"/>
      <c r="F24" s="37"/>
      <c r="G24" s="38"/>
      <c r="H24" s="37"/>
      <c r="I24" s="37"/>
      <c r="J24" s="37"/>
      <c r="K24" s="30">
        <f t="shared" si="1"/>
        <v>0</v>
      </c>
    </row>
    <row r="25" spans="2:11">
      <c r="B25" s="27">
        <v>2.6</v>
      </c>
      <c r="C25" s="28" t="s">
        <v>28</v>
      </c>
      <c r="D25" s="36"/>
      <c r="E25" s="37"/>
      <c r="F25" s="37"/>
      <c r="G25" s="38"/>
      <c r="H25" s="37"/>
      <c r="I25" s="37"/>
      <c r="J25" s="37"/>
      <c r="K25" s="30">
        <f t="shared" si="1"/>
        <v>0</v>
      </c>
    </row>
    <row r="26" ht="25.5" spans="2:11">
      <c r="B26" s="27">
        <v>2.7</v>
      </c>
      <c r="C26" s="28" t="s">
        <v>29</v>
      </c>
      <c r="D26" s="31">
        <f>SUM(D20:D23)-SUM(D24:D25)</f>
        <v>896115.990128285</v>
      </c>
      <c r="E26" s="31">
        <f t="shared" ref="E26:K26" si="2">SUM(E20:E23)-SUM(E24:E25)</f>
        <v>888004.718504319</v>
      </c>
      <c r="F26" s="31">
        <f t="shared" si="2"/>
        <v>885935.345104129</v>
      </c>
      <c r="G26" s="31">
        <f t="shared" si="2"/>
        <v>885083.829776589</v>
      </c>
      <c r="H26" s="31">
        <f t="shared" si="2"/>
        <v>886027.583963408</v>
      </c>
      <c r="I26" s="31">
        <f t="shared" si="2"/>
        <v>890759.872891005</v>
      </c>
      <c r="J26" s="31">
        <f t="shared" si="2"/>
        <v>888475.787082448</v>
      </c>
      <c r="K26" s="32">
        <f t="shared" si="2"/>
        <v>888629.018207169</v>
      </c>
    </row>
    <row r="27" spans="2:11">
      <c r="B27" s="27">
        <v>3</v>
      </c>
      <c r="C27" s="45" t="s">
        <v>30</v>
      </c>
      <c r="D27" s="46">
        <f>D26-D18</f>
        <v>559564.300756267</v>
      </c>
      <c r="E27" s="46">
        <f t="shared" ref="E27:K27" si="3">E26-E18</f>
        <v>551174.074660053</v>
      </c>
      <c r="F27" s="46">
        <f t="shared" si="3"/>
        <v>549549.413334797</v>
      </c>
      <c r="G27" s="46">
        <f t="shared" si="3"/>
        <v>548892.179584882</v>
      </c>
      <c r="H27" s="46">
        <f t="shared" si="3"/>
        <v>549176.599844001</v>
      </c>
      <c r="I27" s="46">
        <f t="shared" si="3"/>
        <v>553103.381112024</v>
      </c>
      <c r="J27" s="46">
        <f t="shared" si="3"/>
        <v>551137.508682564</v>
      </c>
      <c r="K27" s="32">
        <f t="shared" si="3"/>
        <v>551799.636853513</v>
      </c>
    </row>
    <row r="28" ht="13.5" spans="2:11">
      <c r="B28" s="47">
        <v>4</v>
      </c>
      <c r="C28" s="48" t="s">
        <v>31</v>
      </c>
      <c r="D28" s="49">
        <f>D26/D17*100</f>
        <v>39.9395999972712</v>
      </c>
      <c r="E28" s="49">
        <f t="shared" ref="E28:K28" si="4">E26/E17*100</f>
        <v>39.5453056929206</v>
      </c>
      <c r="F28" s="49">
        <f t="shared" si="4"/>
        <v>39.5053089963184</v>
      </c>
      <c r="G28" s="49">
        <f t="shared" si="4"/>
        <v>39.4901462873284</v>
      </c>
      <c r="H28" s="49">
        <f t="shared" si="4"/>
        <v>39.4548758531753</v>
      </c>
      <c r="I28" s="49">
        <f t="shared" si="4"/>
        <v>39.5709794382127</v>
      </c>
      <c r="J28" s="49">
        <f t="shared" si="4"/>
        <v>39.5067434073953</v>
      </c>
      <c r="K28" s="50">
        <f t="shared" si="4"/>
        <v>39.573255811411</v>
      </c>
    </row>
    <row r="29" ht="31.5" customHeight="1" spans="2:11">
      <c r="B29" s="51" t="s">
        <v>36</v>
      </c>
      <c r="C29" s="51"/>
      <c r="D29" s="51"/>
      <c r="E29" s="51"/>
      <c r="F29" s="51"/>
      <c r="G29" s="51"/>
      <c r="H29" s="51"/>
      <c r="I29" s="51"/>
      <c r="J29" s="51"/>
      <c r="K29" s="51"/>
    </row>
    <row r="30" spans="2:11">
      <c r="B30" s="52"/>
      <c r="C30" s="52"/>
    </row>
    <row r="31" spans="2:11">
      <c r="C31" s="53"/>
      <c r="D31" s="54"/>
    </row>
    <row r="32" spans="2:11">
      <c r="D32" s="55"/>
    </row>
    <row r="33" spans="4:4">
      <c r="D33" s="56">
        <f>D26/D17</f>
        <v>0.399395999972712</v>
      </c>
    </row>
  </sheetData>
  <mergeCells count="5">
    <mergeCell ref="B11:C11"/>
    <mergeCell ref="B12:C12"/>
    <mergeCell ref="J14:K14"/>
    <mergeCell ref="B29:K29"/>
    <mergeCell ref="B5:D8"/>
  </mergeCells>
  <pageMargins left="0.7" right="0.7" top="0.75" bottom="0.75" header="0.3" footer="0.3"/>
  <pageSetup paperSize="1" orientation="portrait"/>
  <headerFooter/>
  <ignoredErrors>
    <ignoredError sqref="D9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ZS001 </vt:lpstr>
      <vt:lpstr>NBE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YALEW KIBRET</dc:creator>
  <cp:lastModifiedBy>mulukenwalle</cp:lastModifiedBy>
  <dcterms:created xsi:type="dcterms:W3CDTF">2021-09-17T11:03:00Z</dcterms:created>
  <cp:lastPrinted>2026-08-13T13:04:00Z</cp:lastPrinted>
  <dcterms:modified xsi:type="dcterms:W3CDTF">2026-08-21T06:52:08Z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7A3C67DF752940BFB267548701433428_13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