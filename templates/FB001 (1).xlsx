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esktop\NBE REPORT MONTHLY\NBE EXP. REPORT 2026\NBE REPORT - AUGUST 2026\"/>
    </mc:Choice>
  </mc:AlternateContent>
  <bookViews>
    <workbookView xWindow="0" yWindow="0" windowWidth="9645" windowHeight="5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8" i="1" l="1"/>
  <c r="C120" i="1"/>
  <c r="C116" i="1"/>
  <c r="C113" i="1"/>
  <c r="C110" i="1"/>
  <c r="C107" i="1"/>
  <c r="C106" i="1" s="1"/>
  <c r="C101" i="1"/>
  <c r="C96" i="1" s="1"/>
  <c r="C92" i="1"/>
  <c r="C84" i="1"/>
  <c r="C80" i="1" s="1"/>
  <c r="C73" i="1"/>
  <c r="C66" i="1"/>
  <c r="C65" i="1" s="1"/>
  <c r="C60" i="1"/>
  <c r="C54" i="1"/>
  <c r="C50" i="1"/>
  <c r="C44" i="1"/>
  <c r="C40" i="1"/>
  <c r="C34" i="1"/>
  <c r="C31" i="1" s="1"/>
  <c r="C26" i="1"/>
  <c r="C79" i="1" l="1"/>
  <c r="C119" i="1" s="1"/>
  <c r="C123" i="1" s="1"/>
  <c r="C49" i="1"/>
  <c r="C30" i="1"/>
  <c r="C25" i="1"/>
  <c r="C20" i="1" l="1"/>
  <c r="C17" i="1"/>
  <c r="C16" i="1" l="1"/>
  <c r="C76" i="1" s="1"/>
</calcChain>
</file>

<file path=xl/sharedStrings.xml><?xml version="1.0" encoding="utf-8"?>
<sst xmlns="http://schemas.openxmlformats.org/spreadsheetml/2006/main" count="165" uniqueCount="159">
  <si>
    <t>INT_FRE_BS_FB001</t>
  </si>
  <si>
    <t>Interest Free Banking Service Balance sheet</t>
  </si>
  <si>
    <t xml:space="preserve">Instiution Code </t>
  </si>
  <si>
    <t>Financial Year</t>
  </si>
  <si>
    <t>Start Date</t>
  </si>
  <si>
    <t>End Date</t>
  </si>
  <si>
    <t>In Millions of Birr</t>
  </si>
  <si>
    <t>Description</t>
  </si>
  <si>
    <t xml:space="preserve">Assets </t>
  </si>
  <si>
    <t>Financial Assets (sum 2-6)</t>
  </si>
  <si>
    <t>Cash on hand (2.1+2.2)</t>
  </si>
  <si>
    <t>Foreign currency</t>
  </si>
  <si>
    <t>Local currency</t>
  </si>
  <si>
    <t>Deposits (sum 3.1-3.4)</t>
  </si>
  <si>
    <t xml:space="preserve">Deposits with NBE </t>
  </si>
  <si>
    <t>Deposits with domestic banks/other financial institutions</t>
  </si>
  <si>
    <t>Deposit with foreign banks</t>
  </si>
  <si>
    <t xml:space="preserve">Other deposits </t>
  </si>
  <si>
    <t xml:space="preserve">INVESTMENTS (4.1+4.2) </t>
  </si>
  <si>
    <t xml:space="preserve">Short-term investments (sum 4.1.1-4.1.3) </t>
  </si>
  <si>
    <t>4.1.1</t>
  </si>
  <si>
    <t>Treasury Bills</t>
  </si>
  <si>
    <t>4.1.2</t>
  </si>
  <si>
    <t>Discount on short-term securities</t>
  </si>
  <si>
    <t>4.1.3</t>
  </si>
  <si>
    <t xml:space="preserve">Long-term investments (4.2.1+4.2.2) </t>
  </si>
  <si>
    <t xml:space="preserve">  4.2.1</t>
  </si>
  <si>
    <t xml:space="preserve">Securities (sum 4.2.1.1 - 4.2.1.5) </t>
  </si>
  <si>
    <t>4.2.1.1</t>
  </si>
  <si>
    <t>NBE bills</t>
  </si>
  <si>
    <t>4.2.1.2</t>
  </si>
  <si>
    <t>DBE Bonds</t>
  </si>
  <si>
    <t xml:space="preserve">4.2.1.3 </t>
  </si>
  <si>
    <t>Bonds (sum 4.2.1.3.1-4.2.1.3.3)</t>
  </si>
  <si>
    <t>4.2.1.3.1</t>
  </si>
  <si>
    <t>Federal government</t>
  </si>
  <si>
    <t>4.2.1.3.2</t>
  </si>
  <si>
    <t>Regional government</t>
  </si>
  <si>
    <t xml:space="preserve">4.2.1.3.3 </t>
  </si>
  <si>
    <t>Corporate</t>
  </si>
  <si>
    <t>4.2.1.4</t>
  </si>
  <si>
    <t xml:space="preserve">Discount on long-term securities </t>
  </si>
  <si>
    <t xml:space="preserve"> 4.2.1.5 </t>
  </si>
  <si>
    <t>Other long-term securities</t>
  </si>
  <si>
    <t>Equity investment (sum 4.2.2.1-4.2.2.3)</t>
  </si>
  <si>
    <t xml:space="preserve"> 4.2.2.1</t>
  </si>
  <si>
    <t>Mudharabah</t>
  </si>
  <si>
    <t xml:space="preserve"> 4.2.2.2 </t>
  </si>
  <si>
    <t>Musharakah</t>
  </si>
  <si>
    <t xml:space="preserve"> 4.2.2 .3</t>
  </si>
  <si>
    <t>Equity participation</t>
  </si>
  <si>
    <t>Receivables (Sum 5.1-5.4)</t>
  </si>
  <si>
    <t xml:space="preserve"> Accounts receivable</t>
  </si>
  <si>
    <t xml:space="preserve"> Profit receivable from financing</t>
  </si>
  <si>
    <t>Profit receivable from investment</t>
  </si>
  <si>
    <t xml:space="preserve">Other receivable </t>
  </si>
  <si>
    <t>Net Loans and Advances [(sum 6.1-6.4)-(6.5)]</t>
  </si>
  <si>
    <t>Trade financing (Sum 6.1.1-6.1.3)</t>
  </si>
  <si>
    <t>6.1.1</t>
  </si>
  <si>
    <t xml:space="preserve"> Murabaha financing</t>
  </si>
  <si>
    <t>6.1.2</t>
  </si>
  <si>
    <t xml:space="preserve"> Selam financing</t>
  </si>
  <si>
    <t xml:space="preserve"> 6.1.3</t>
  </si>
  <si>
    <t>Istina’a financing</t>
  </si>
  <si>
    <t>Ijira (leasing) (6.2.1+6.2.2)</t>
  </si>
  <si>
    <t>6.2.1</t>
  </si>
  <si>
    <t xml:space="preserve"> Financial leasing</t>
  </si>
  <si>
    <t xml:space="preserve">6.2.2  </t>
  </si>
  <si>
    <t>Operational leasing</t>
  </si>
  <si>
    <t xml:space="preserve"> Qard (goodly loans)</t>
  </si>
  <si>
    <t>Other loans</t>
  </si>
  <si>
    <t>6.5 </t>
  </si>
  <si>
    <t xml:space="preserve">Less provisions </t>
  </si>
  <si>
    <t>Inventories (sum 7.1-7.4)</t>
  </si>
  <si>
    <t>Inventories held for trade financing</t>
  </si>
  <si>
    <t xml:space="preserve"> Inventories held for Ijira (leasing)</t>
  </si>
  <si>
    <t xml:space="preserve"> Supplies stock</t>
  </si>
  <si>
    <t>Other inventories</t>
  </si>
  <si>
    <t xml:space="preserve"> Gross fixed assets (sum 8.2-8.6)</t>
  </si>
  <si>
    <t>Furniture &amp; fittings</t>
  </si>
  <si>
    <t xml:space="preserve"> Office &amp; other equipment</t>
  </si>
  <si>
    <t xml:space="preserve">Vehicles </t>
  </si>
  <si>
    <t>Acquired properties</t>
  </si>
  <si>
    <t xml:space="preserve">Other properties </t>
  </si>
  <si>
    <t>Accumulated depreciation</t>
  </si>
  <si>
    <t>Other assets (9.1+9.2)</t>
  </si>
  <si>
    <t>Suspense accounts</t>
  </si>
  <si>
    <t>Suspense inter branch accounts</t>
  </si>
  <si>
    <t>Total Assets (1+7+8+9)</t>
  </si>
  <si>
    <t>Liabilities and Owner's Equity</t>
  </si>
  <si>
    <t xml:space="preserve">Liabilities </t>
  </si>
  <si>
    <t>Deposits (11.1+11.2)</t>
  </si>
  <si>
    <t>Current account (Amana Demand Deposit) (sum 11.1.1-11.1.5)</t>
  </si>
  <si>
    <t>11.1.1</t>
  </si>
  <si>
    <t>Private sector</t>
  </si>
  <si>
    <t>11.1.2</t>
  </si>
  <si>
    <t>Cooperative and associations</t>
  </si>
  <si>
    <t xml:space="preserve">11.1.3 </t>
  </si>
  <si>
    <t>Public enterprises</t>
  </si>
  <si>
    <t xml:space="preserve">11.1.4 </t>
  </si>
  <si>
    <t>Banks/other financial institutions (11.1.4.1+11.1.4.2)</t>
  </si>
  <si>
    <t xml:space="preserve">11.1.4.1 </t>
  </si>
  <si>
    <t>Local bank/ financial institutions</t>
  </si>
  <si>
    <t xml:space="preserve">11.1.4.2 </t>
  </si>
  <si>
    <t>Foreign bank/financial institutions</t>
  </si>
  <si>
    <t>11.1.5</t>
  </si>
  <si>
    <t>Others (specify)</t>
  </si>
  <si>
    <t>Saving accounts (Wadi’a Saving Deposit) (sum 11.2.1-11.2.5)</t>
  </si>
  <si>
    <t xml:space="preserve">11.2.1 </t>
  </si>
  <si>
    <t>11.2.2</t>
  </si>
  <si>
    <t>11.2.3</t>
  </si>
  <si>
    <t>11.2.4</t>
  </si>
  <si>
    <t>Banks/other financial institutions (11.2.4.1+11.2.4.2)</t>
  </si>
  <si>
    <t>11.2.4.1</t>
  </si>
  <si>
    <t xml:space="preserve"> Local bank/ financial institutions</t>
  </si>
  <si>
    <t xml:space="preserve">11.2.4.2 </t>
  </si>
  <si>
    <t>11.2.5</t>
  </si>
  <si>
    <t>Payable (sum 12.1-12.6)</t>
  </si>
  <si>
    <t>Accounts payable</t>
  </si>
  <si>
    <t xml:space="preserve"> Profit tax payable</t>
  </si>
  <si>
    <t xml:space="preserve"> Payable to charity organization for penalty collected</t>
  </si>
  <si>
    <t>Hiba payable (if any)</t>
  </si>
  <si>
    <t>Declared but undistributed profit (sum 12.5.1-12.5.3)</t>
  </si>
  <si>
    <t xml:space="preserve">12.5.1. </t>
  </si>
  <si>
    <t>Accumulated profit share on trade</t>
  </si>
  <si>
    <t xml:space="preserve">12.5.2 </t>
  </si>
  <si>
    <t>Accumulated profit share on Ijara</t>
  </si>
  <si>
    <t>12.5.3</t>
  </si>
  <si>
    <t xml:space="preserve"> Accumulated profit share on Qard</t>
  </si>
  <si>
    <t xml:space="preserve">Other payables </t>
  </si>
  <si>
    <t>Investment account holders (13.1+13.2)</t>
  </si>
  <si>
    <t>Restricted investment deposit (13.1.1+13.1.2)</t>
  </si>
  <si>
    <t>13.1.1</t>
  </si>
  <si>
    <t xml:space="preserve"> Time bounded investment</t>
  </si>
  <si>
    <t xml:space="preserve">13.1.2 </t>
  </si>
  <si>
    <t xml:space="preserve"> Non-time bounded investment</t>
  </si>
  <si>
    <t>Unrestricted investment deposit (13.2.1+13.2.2)</t>
  </si>
  <si>
    <t>13.2.1</t>
  </si>
  <si>
    <t>Time bounded investment</t>
  </si>
  <si>
    <t>13.2.2</t>
  </si>
  <si>
    <t xml:space="preserve"> Non time bounded investment</t>
  </si>
  <si>
    <t>Reserves (14.1+14.2)</t>
  </si>
  <si>
    <t xml:space="preserve"> Profit equalization reserve</t>
  </si>
  <si>
    <t>14.2.</t>
  </si>
  <si>
    <t xml:space="preserve"> Investment risk reserve</t>
  </si>
  <si>
    <t>Other liabilities (15.1+15.2)</t>
  </si>
  <si>
    <t>Suspense inter-branch accounts</t>
  </si>
  <si>
    <t>16 </t>
  </si>
  <si>
    <t>Total liabilities (sum 11-15)</t>
  </si>
  <si>
    <t>Owners’ Equity (17.1+17.2)</t>
  </si>
  <si>
    <t>Profit/loss account</t>
  </si>
  <si>
    <t>Other</t>
  </si>
  <si>
    <t>Liabilities and owners’ Equity (16+17)</t>
  </si>
  <si>
    <t>S.No.</t>
  </si>
  <si>
    <r>
      <t xml:space="preserve">Other short term </t>
    </r>
    <r>
      <rPr>
        <sz val="12"/>
        <color theme="1"/>
        <rFont val="Times New Roman"/>
        <family val="1"/>
      </rPr>
      <t>securities</t>
    </r>
  </si>
  <si>
    <r>
      <t xml:space="preserve">Net fixed assets </t>
    </r>
    <r>
      <rPr>
        <sz val="12"/>
        <color rgb="FF000000"/>
        <rFont val="Times New Roman"/>
        <family val="1"/>
      </rPr>
      <t>(8.1- 8.7)</t>
    </r>
  </si>
  <si>
    <t>4.2.2</t>
  </si>
  <si>
    <t>0000001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</si>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</sst>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10452]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4" borderId="10" xfId="0" applyFont="1" applyFill="1" applyBorder="1" applyAlignment="1">
      <alignment horizontal="left"/>
    </xf>
    <xf numFmtId="0" fontId="6" fillId="5" borderId="26" xfId="0" applyFont="1" applyFill="1" applyBorder="1" applyAlignment="1">
      <alignment horizontal="center" vertical="top" wrapText="1"/>
    </xf>
    <xf numFmtId="0" fontId="6" fillId="5" borderId="27" xfId="0" applyFont="1" applyFill="1" applyBorder="1" applyAlignment="1">
      <alignment horizontal="center" vertical="top" wrapText="1"/>
    </xf>
    <xf numFmtId="39" fontId="5" fillId="5" borderId="28" xfId="0" applyNumberFormat="1" applyFont="1" applyFill="1" applyBorder="1" applyAlignment="1" applyProtection="1">
      <alignment horizontal="right" vertical="top" wrapText="1"/>
      <protection locked="0"/>
    </xf>
    <xf numFmtId="0" fontId="5" fillId="0" borderId="2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center" vertical="top" wrapText="1"/>
    </xf>
    <xf numFmtId="39" fontId="6" fillId="0" borderId="20" xfId="0" applyNumberFormat="1" applyFont="1" applyBorder="1" applyAlignment="1" applyProtection="1">
      <alignment horizontal="right" vertical="top" wrapText="1"/>
      <protection locked="0"/>
    </xf>
    <xf numFmtId="0" fontId="7" fillId="0" borderId="3" xfId="0" applyFont="1" applyBorder="1" applyAlignment="1">
      <alignment horizontal="left" vertical="top" wrapText="1"/>
    </xf>
    <xf numFmtId="39" fontId="5" fillId="0" borderId="20" xfId="0" applyNumberFormat="1" applyFont="1" applyBorder="1" applyAlignment="1" applyProtection="1">
      <alignment horizontal="right" vertical="top" wrapText="1"/>
      <protection locked="0"/>
    </xf>
    <xf numFmtId="0" fontId="5" fillId="0" borderId="19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left" vertical="top" wrapText="1"/>
    </xf>
    <xf numFmtId="39" fontId="5" fillId="0" borderId="25" xfId="0" applyNumberFormat="1" applyFont="1" applyBorder="1" applyAlignment="1" applyProtection="1">
      <alignment horizontal="right" vertical="top" wrapText="1"/>
    </xf>
    <xf numFmtId="39" fontId="4" fillId="0" borderId="20" xfId="0" applyNumberFormat="1" applyFont="1" applyBorder="1" applyAlignment="1" applyProtection="1">
      <alignment horizontal="right" vertical="top" wrapText="1"/>
    </xf>
    <xf numFmtId="39" fontId="6" fillId="0" borderId="20" xfId="0" applyNumberFormat="1" applyFont="1" applyBorder="1" applyAlignment="1" applyProtection="1">
      <alignment horizontal="right" vertical="top" wrapText="1"/>
    </xf>
    <xf numFmtId="39" fontId="5" fillId="0" borderId="20" xfId="0" applyNumberFormat="1" applyFont="1" applyBorder="1" applyAlignment="1" applyProtection="1">
      <alignment horizontal="right" vertical="top" wrapText="1"/>
    </xf>
    <xf numFmtId="49" fontId="5" fillId="3" borderId="2" xfId="0" applyNumberFormat="1" applyFont="1" applyFill="1" applyBorder="1" applyAlignment="1" applyProtection="1">
      <alignment horizontal="right"/>
      <protection locked="0"/>
    </xf>
    <xf numFmtId="49" fontId="5" fillId="3" borderId="3" xfId="0" applyNumberFormat="1" applyFont="1" applyFill="1" applyBorder="1" applyAlignment="1" applyProtection="1">
      <alignment horizontal="right"/>
      <protection locked="0"/>
    </xf>
    <xf numFmtId="164" fontId="5" fillId="3" borderId="3" xfId="0" applyNumberFormat="1" applyFont="1" applyFill="1" applyBorder="1" applyAlignment="1" applyProtection="1">
      <alignment horizontal="right"/>
      <protection locked="0"/>
    </xf>
    <xf numFmtId="39" fontId="4" fillId="0" borderId="23" xfId="0" applyNumberFormat="1" applyFont="1" applyBorder="1" applyAlignment="1" applyProtection="1">
      <alignment horizontal="right" vertical="top" wrapText="1"/>
    </xf>
    <xf numFmtId="39" fontId="7" fillId="0" borderId="20" xfId="0" applyNumberFormat="1" applyFont="1" applyBorder="1" applyAlignment="1" applyProtection="1">
      <alignment horizontal="right" vertical="top" wrapText="1"/>
    </xf>
    <xf numFmtId="39" fontId="7" fillId="0" borderId="20" xfId="0" applyNumberFormat="1" applyFont="1" applyBorder="1" applyAlignment="1" applyProtection="1">
      <alignment horizontal="right" vertical="top" wrapText="1"/>
      <protection locked="0"/>
    </xf>
    <xf numFmtId="39" fontId="8" fillId="0" borderId="20" xfId="0" applyNumberFormat="1" applyFont="1" applyBorder="1" applyAlignment="1" applyProtection="1">
      <alignment horizontal="right" vertical="top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topLeftCell="B116" workbookViewId="0">
      <selection activeCell="C131" sqref="C131"/>
    </sheetView>
  </sheetViews>
  <sheetFormatPr defaultRowHeight="15" x14ac:dyDescent="0.25"/>
  <cols>
    <col min="1" max="1" width="9.140625" style="1"/>
    <col min="2" max="2" width="57.28515625" style="2" customWidth="1"/>
    <col min="3" max="3" width="22.140625" style="2" customWidth="1"/>
    <col min="4" max="6" width="9.140625" style="2"/>
    <col min="7" max="7" width="10.5703125" style="2" bestFit="1" customWidth="1"/>
    <col min="8" max="16384" width="9.140625" style="2"/>
  </cols>
  <sheetData>
    <row r="1" spans="1:7" x14ac:dyDescent="0.25">
      <c r="A1" s="1" t="s">
        <v>0</v>
      </c>
    </row>
    <row r="3" spans="1:7" ht="15.75" thickBot="1" x14ac:dyDescent="0.3"/>
    <row r="4" spans="1:7" ht="15.75" thickTop="1" x14ac:dyDescent="0.25">
      <c r="A4" s="35" t="s">
        <v>1</v>
      </c>
      <c r="B4" s="36"/>
      <c r="C4" s="37"/>
    </row>
    <row r="5" spans="1:7" x14ac:dyDescent="0.25">
      <c r="A5" s="38"/>
      <c r="B5" s="39"/>
      <c r="C5" s="40"/>
    </row>
    <row r="6" spans="1:7" x14ac:dyDescent="0.25">
      <c r="A6" s="38"/>
      <c r="B6" s="39"/>
      <c r="C6" s="40"/>
    </row>
    <row r="7" spans="1:7" ht="15.75" thickBot="1" x14ac:dyDescent="0.3">
      <c r="A7" s="41"/>
      <c r="B7" s="42"/>
      <c r="C7" s="43"/>
    </row>
    <row r="8" spans="1:7" ht="16.5" thickTop="1" x14ac:dyDescent="0.25">
      <c r="A8" s="44" t="s">
        <v>2</v>
      </c>
      <c r="B8" s="45"/>
      <c r="C8" s="28" t="s">
        <v>157</v>
      </c>
      <c r="D8" s="5"/>
    </row>
    <row r="9" spans="1:7" ht="15.75" x14ac:dyDescent="0.25">
      <c r="A9" s="46" t="s">
        <v>3</v>
      </c>
      <c r="B9" s="47"/>
      <c r="C9" s="29" t="s">
        <v>158</v>
      </c>
      <c r="D9" s="5"/>
    </row>
    <row r="10" spans="1:7" ht="15.75" x14ac:dyDescent="0.25">
      <c r="A10" s="48" t="s">
        <v>4</v>
      </c>
      <c r="B10" s="49"/>
      <c r="C10" s="30">
        <v>46204</v>
      </c>
      <c r="D10" s="5"/>
    </row>
    <row r="11" spans="1:7" ht="16.5" thickBot="1" x14ac:dyDescent="0.3">
      <c r="A11" s="50" t="s">
        <v>5</v>
      </c>
      <c r="B11" s="51"/>
      <c r="C11" s="30">
        <v>46265</v>
      </c>
      <c r="D11" s="5"/>
    </row>
    <row r="12" spans="1:7" ht="15.75" x14ac:dyDescent="0.25">
      <c r="A12" s="6"/>
      <c r="B12" s="5"/>
      <c r="C12" s="5"/>
      <c r="D12" s="5"/>
    </row>
    <row r="13" spans="1:7" ht="16.5" thickBot="1" x14ac:dyDescent="0.3">
      <c r="A13" s="6"/>
      <c r="B13" s="5"/>
      <c r="C13" s="7" t="s">
        <v>6</v>
      </c>
      <c r="D13" s="5"/>
    </row>
    <row r="14" spans="1:7" ht="17.25" thickTop="1" thickBot="1" x14ac:dyDescent="0.3">
      <c r="A14" s="8" t="s">
        <v>153</v>
      </c>
      <c r="B14" s="9" t="s">
        <v>7</v>
      </c>
      <c r="C14" s="10"/>
      <c r="D14" s="5"/>
      <c r="G14" s="3"/>
    </row>
    <row r="15" spans="1:7" ht="16.5" thickTop="1" x14ac:dyDescent="0.25">
      <c r="A15" s="11"/>
      <c r="B15" s="12" t="s">
        <v>8</v>
      </c>
      <c r="C15" s="24"/>
      <c r="D15" s="5"/>
      <c r="G15" s="4"/>
    </row>
    <row r="16" spans="1:7" ht="15.75" x14ac:dyDescent="0.25">
      <c r="A16" s="13">
        <v>1</v>
      </c>
      <c r="B16" s="14" t="s">
        <v>9</v>
      </c>
      <c r="C16" s="25">
        <f>C17+C20+C25+C44+C49</f>
        <v>95546.938876250002</v>
      </c>
      <c r="D16" s="5"/>
      <c r="G16" s="4"/>
    </row>
    <row r="17" spans="1:7" ht="15.75" x14ac:dyDescent="0.25">
      <c r="A17" s="15">
        <v>2</v>
      </c>
      <c r="B17" s="14" t="s">
        <v>10</v>
      </c>
      <c r="C17" s="26">
        <f>C18+C19</f>
        <v>2042.0877014499997</v>
      </c>
      <c r="D17" s="5"/>
      <c r="G17" s="4"/>
    </row>
    <row r="18" spans="1:7" ht="15.75" x14ac:dyDescent="0.25">
      <c r="A18" s="13">
        <v>2.1</v>
      </c>
      <c r="B18" s="17" t="s">
        <v>11</v>
      </c>
      <c r="C18" s="18">
        <v>19.338871839999999</v>
      </c>
      <c r="D18" s="5"/>
    </row>
    <row r="19" spans="1:7" ht="15.75" x14ac:dyDescent="0.25">
      <c r="A19" s="13">
        <v>2.2000000000000002</v>
      </c>
      <c r="B19" s="17" t="s">
        <v>12</v>
      </c>
      <c r="C19" s="18">
        <v>2022.7488296099998</v>
      </c>
      <c r="D19" s="5"/>
    </row>
    <row r="20" spans="1:7" ht="15.75" x14ac:dyDescent="0.25">
      <c r="A20" s="13">
        <v>3</v>
      </c>
      <c r="B20" s="14" t="s">
        <v>13</v>
      </c>
      <c r="C20" s="26">
        <f>C21+C22+C23+C24</f>
        <v>0</v>
      </c>
      <c r="D20" s="5"/>
    </row>
    <row r="21" spans="1:7" ht="15.75" x14ac:dyDescent="0.25">
      <c r="A21" s="13">
        <v>3.1</v>
      </c>
      <c r="B21" s="17" t="s">
        <v>14</v>
      </c>
      <c r="C21" s="18"/>
      <c r="D21" s="5"/>
    </row>
    <row r="22" spans="1:7" ht="15.75" x14ac:dyDescent="0.25">
      <c r="A22" s="13">
        <v>3.2</v>
      </c>
      <c r="B22" s="17" t="s">
        <v>15</v>
      </c>
      <c r="C22" s="18"/>
      <c r="D22" s="5"/>
    </row>
    <row r="23" spans="1:7" ht="15.75" x14ac:dyDescent="0.25">
      <c r="A23" s="13">
        <v>3.3</v>
      </c>
      <c r="B23" s="17" t="s">
        <v>16</v>
      </c>
      <c r="C23" s="16"/>
      <c r="D23" s="5"/>
    </row>
    <row r="24" spans="1:7" ht="15.75" x14ac:dyDescent="0.25">
      <c r="A24" s="13">
        <v>3.4</v>
      </c>
      <c r="B24" s="17" t="s">
        <v>17</v>
      </c>
      <c r="C24" s="18"/>
      <c r="D24" s="5"/>
    </row>
    <row r="25" spans="1:7" ht="15.75" x14ac:dyDescent="0.25">
      <c r="A25" s="13">
        <v>4</v>
      </c>
      <c r="B25" s="14" t="s">
        <v>18</v>
      </c>
      <c r="C25" s="25">
        <f>C26+C30</f>
        <v>0</v>
      </c>
      <c r="D25" s="5"/>
    </row>
    <row r="26" spans="1:7" ht="15.75" x14ac:dyDescent="0.25">
      <c r="A26" s="13">
        <v>4.0999999999999996</v>
      </c>
      <c r="B26" s="17" t="s">
        <v>19</v>
      </c>
      <c r="C26" s="32">
        <f>SUM(C27:C29)</f>
        <v>0</v>
      </c>
      <c r="D26" s="5"/>
    </row>
    <row r="27" spans="1:7" ht="15.75" x14ac:dyDescent="0.25">
      <c r="A27" s="19" t="s">
        <v>20</v>
      </c>
      <c r="B27" s="20" t="s">
        <v>21</v>
      </c>
      <c r="C27" s="18"/>
      <c r="D27" s="5"/>
    </row>
    <row r="28" spans="1:7" ht="15.75" x14ac:dyDescent="0.25">
      <c r="A28" s="19" t="s">
        <v>22</v>
      </c>
      <c r="B28" s="20" t="s">
        <v>23</v>
      </c>
      <c r="C28" s="18"/>
      <c r="D28" s="5"/>
    </row>
    <row r="29" spans="1:7" ht="15.75" x14ac:dyDescent="0.25">
      <c r="A29" s="19" t="s">
        <v>24</v>
      </c>
      <c r="B29" s="17" t="s">
        <v>154</v>
      </c>
      <c r="C29" s="33"/>
      <c r="D29" s="5"/>
    </row>
    <row r="30" spans="1:7" ht="15.75" x14ac:dyDescent="0.25">
      <c r="A30" s="13">
        <v>4.2</v>
      </c>
      <c r="B30" s="17" t="s">
        <v>25</v>
      </c>
      <c r="C30" s="27">
        <f>C31+C40</f>
        <v>0</v>
      </c>
      <c r="D30" s="5"/>
    </row>
    <row r="31" spans="1:7" ht="15.75" x14ac:dyDescent="0.25">
      <c r="A31" s="19" t="s">
        <v>26</v>
      </c>
      <c r="B31" s="20" t="s">
        <v>27</v>
      </c>
      <c r="C31" s="27">
        <f>C32+C33+C34+C38+C39</f>
        <v>0</v>
      </c>
      <c r="D31" s="5"/>
    </row>
    <row r="32" spans="1:7" ht="15.75" x14ac:dyDescent="0.25">
      <c r="A32" s="19" t="s">
        <v>28</v>
      </c>
      <c r="B32" s="20" t="s">
        <v>29</v>
      </c>
      <c r="C32" s="33"/>
      <c r="D32" s="5"/>
    </row>
    <row r="33" spans="1:4" ht="15.75" x14ac:dyDescent="0.25">
      <c r="A33" s="19" t="s">
        <v>30</v>
      </c>
      <c r="B33" s="20" t="s">
        <v>31</v>
      </c>
      <c r="C33" s="18"/>
      <c r="D33" s="5"/>
    </row>
    <row r="34" spans="1:4" ht="15.75" x14ac:dyDescent="0.25">
      <c r="A34" s="19" t="s">
        <v>32</v>
      </c>
      <c r="B34" s="20" t="s">
        <v>33</v>
      </c>
      <c r="C34" s="27">
        <f>C35+C36+C37</f>
        <v>0</v>
      </c>
      <c r="D34" s="5"/>
    </row>
    <row r="35" spans="1:4" ht="15.75" x14ac:dyDescent="0.25">
      <c r="A35" s="19" t="s">
        <v>34</v>
      </c>
      <c r="B35" s="17" t="s">
        <v>35</v>
      </c>
      <c r="C35" s="33"/>
      <c r="D35" s="5"/>
    </row>
    <row r="36" spans="1:4" ht="15.75" x14ac:dyDescent="0.25">
      <c r="A36" s="19" t="s">
        <v>36</v>
      </c>
      <c r="B36" s="17" t="s">
        <v>37</v>
      </c>
      <c r="C36" s="18"/>
      <c r="D36" s="5"/>
    </row>
    <row r="37" spans="1:4" ht="15.75" x14ac:dyDescent="0.25">
      <c r="A37" s="19" t="s">
        <v>38</v>
      </c>
      <c r="B37" s="17" t="s">
        <v>39</v>
      </c>
      <c r="C37" s="18"/>
      <c r="D37" s="5"/>
    </row>
    <row r="38" spans="1:4" ht="15.75" x14ac:dyDescent="0.25">
      <c r="A38" s="19" t="s">
        <v>40</v>
      </c>
      <c r="B38" s="20" t="s">
        <v>41</v>
      </c>
      <c r="C38" s="33"/>
      <c r="D38" s="5"/>
    </row>
    <row r="39" spans="1:4" ht="15.75" x14ac:dyDescent="0.25">
      <c r="A39" s="19" t="s">
        <v>42</v>
      </c>
      <c r="B39" s="20" t="s">
        <v>43</v>
      </c>
      <c r="C39" s="18"/>
      <c r="D39" s="5"/>
    </row>
    <row r="40" spans="1:4" ht="15.75" x14ac:dyDescent="0.25">
      <c r="A40" s="19" t="s">
        <v>156</v>
      </c>
      <c r="B40" s="17" t="s">
        <v>44</v>
      </c>
      <c r="C40" s="27">
        <f>SUM(C41:C43)</f>
        <v>0</v>
      </c>
      <c r="D40" s="5"/>
    </row>
    <row r="41" spans="1:4" ht="15.75" x14ac:dyDescent="0.25">
      <c r="A41" s="19" t="s">
        <v>45</v>
      </c>
      <c r="B41" s="17" t="s">
        <v>46</v>
      </c>
      <c r="C41" s="16"/>
      <c r="D41" s="5"/>
    </row>
    <row r="42" spans="1:4" ht="15.75" x14ac:dyDescent="0.25">
      <c r="A42" s="19" t="s">
        <v>47</v>
      </c>
      <c r="B42" s="17" t="s">
        <v>48</v>
      </c>
      <c r="C42" s="18"/>
      <c r="D42" s="5"/>
    </row>
    <row r="43" spans="1:4" ht="15.75" x14ac:dyDescent="0.25">
      <c r="A43" s="19" t="s">
        <v>49</v>
      </c>
      <c r="B43" s="17" t="s">
        <v>50</v>
      </c>
      <c r="C43" s="18"/>
      <c r="D43" s="5"/>
    </row>
    <row r="44" spans="1:4" ht="15.75" x14ac:dyDescent="0.25">
      <c r="A44" s="15">
        <v>5</v>
      </c>
      <c r="B44" s="14" t="s">
        <v>51</v>
      </c>
      <c r="C44" s="26">
        <f>C45+C46+C47+C48</f>
        <v>693.77555168999993</v>
      </c>
      <c r="D44" s="5"/>
    </row>
    <row r="45" spans="1:4" ht="15.75" x14ac:dyDescent="0.25">
      <c r="A45" s="13">
        <v>5.0999999999999996</v>
      </c>
      <c r="B45" s="17" t="s">
        <v>52</v>
      </c>
      <c r="C45" s="18">
        <v>67.898585399999988</v>
      </c>
      <c r="D45" s="5"/>
    </row>
    <row r="46" spans="1:4" ht="15.75" x14ac:dyDescent="0.25">
      <c r="A46" s="13">
        <v>5.2</v>
      </c>
      <c r="B46" s="17" t="s">
        <v>53</v>
      </c>
      <c r="C46" s="18"/>
      <c r="D46" s="5"/>
    </row>
    <row r="47" spans="1:4" ht="15.75" x14ac:dyDescent="0.25">
      <c r="A47" s="13">
        <v>5.3</v>
      </c>
      <c r="B47" s="17" t="s">
        <v>54</v>
      </c>
      <c r="C47" s="16"/>
      <c r="D47" s="5"/>
    </row>
    <row r="48" spans="1:4" ht="15.75" x14ac:dyDescent="0.25">
      <c r="A48" s="13">
        <v>5.4</v>
      </c>
      <c r="B48" s="17" t="s">
        <v>55</v>
      </c>
      <c r="C48" s="18">
        <v>625.87696628999993</v>
      </c>
      <c r="D48" s="5"/>
    </row>
    <row r="49" spans="1:4" ht="15.75" x14ac:dyDescent="0.25">
      <c r="A49" s="13">
        <v>6</v>
      </c>
      <c r="B49" s="14" t="s">
        <v>56</v>
      </c>
      <c r="C49" s="25">
        <f>(C50+C54+C57+C58)-(C59)</f>
        <v>92811.075623110009</v>
      </c>
      <c r="D49" s="5"/>
    </row>
    <row r="50" spans="1:4" ht="15.75" x14ac:dyDescent="0.25">
      <c r="A50" s="13">
        <v>6.1</v>
      </c>
      <c r="B50" s="17" t="s">
        <v>57</v>
      </c>
      <c r="C50" s="32">
        <f>SUM(C51:C53)</f>
        <v>94158.412140630011</v>
      </c>
      <c r="D50" s="5"/>
    </row>
    <row r="51" spans="1:4" ht="15.75" x14ac:dyDescent="0.25">
      <c r="A51" s="19" t="s">
        <v>58</v>
      </c>
      <c r="B51" s="17" t="s">
        <v>59</v>
      </c>
      <c r="C51" s="18">
        <v>94158.412140630011</v>
      </c>
      <c r="D51" s="5"/>
    </row>
    <row r="52" spans="1:4" ht="15.75" x14ac:dyDescent="0.25">
      <c r="A52" s="19" t="s">
        <v>60</v>
      </c>
      <c r="B52" s="17" t="s">
        <v>61</v>
      </c>
      <c r="C52" s="18"/>
      <c r="D52" s="5"/>
    </row>
    <row r="53" spans="1:4" ht="15.75" x14ac:dyDescent="0.25">
      <c r="A53" s="19" t="s">
        <v>62</v>
      </c>
      <c r="B53" s="17" t="s">
        <v>63</v>
      </c>
      <c r="C53" s="16"/>
      <c r="D53" s="5"/>
    </row>
    <row r="54" spans="1:4" ht="15.75" x14ac:dyDescent="0.25">
      <c r="A54" s="13">
        <v>6.2</v>
      </c>
      <c r="B54" s="14" t="s">
        <v>64</v>
      </c>
      <c r="C54" s="25">
        <f>SUM(C55:C56)</f>
        <v>0</v>
      </c>
      <c r="D54" s="5"/>
    </row>
    <row r="55" spans="1:4" ht="15.75" x14ac:dyDescent="0.25">
      <c r="A55" s="19" t="s">
        <v>65</v>
      </c>
      <c r="B55" s="17" t="s">
        <v>66</v>
      </c>
      <c r="C55" s="18"/>
      <c r="D55" s="5"/>
    </row>
    <row r="56" spans="1:4" ht="15.75" x14ac:dyDescent="0.25">
      <c r="A56" s="19" t="s">
        <v>67</v>
      </c>
      <c r="B56" s="17" t="s">
        <v>68</v>
      </c>
      <c r="C56" s="16"/>
      <c r="D56" s="5"/>
    </row>
    <row r="57" spans="1:4" ht="15.75" x14ac:dyDescent="0.25">
      <c r="A57" s="13">
        <v>6.3</v>
      </c>
      <c r="B57" s="14" t="s">
        <v>69</v>
      </c>
      <c r="C57" s="18"/>
      <c r="D57" s="5"/>
    </row>
    <row r="58" spans="1:4" ht="15.75" x14ac:dyDescent="0.25">
      <c r="A58" s="13">
        <v>6.4</v>
      </c>
      <c r="B58" s="14" t="s">
        <v>70</v>
      </c>
      <c r="C58" s="18"/>
      <c r="D58" s="5"/>
    </row>
    <row r="59" spans="1:4" ht="15.75" x14ac:dyDescent="0.25">
      <c r="A59" s="13" t="s">
        <v>71</v>
      </c>
      <c r="B59" s="17" t="s">
        <v>72</v>
      </c>
      <c r="C59" s="16">
        <v>1347.3365175199999</v>
      </c>
      <c r="D59" s="5"/>
    </row>
    <row r="60" spans="1:4" ht="15.75" x14ac:dyDescent="0.25">
      <c r="A60" s="13">
        <v>7</v>
      </c>
      <c r="B60" s="14" t="s">
        <v>73</v>
      </c>
      <c r="C60" s="25">
        <f>SUM(C61:C64)</f>
        <v>50.610716599999996</v>
      </c>
      <c r="D60" s="5"/>
    </row>
    <row r="61" spans="1:4" ht="15.75" x14ac:dyDescent="0.25">
      <c r="A61" s="13">
        <v>7.1</v>
      </c>
      <c r="B61" s="17" t="s">
        <v>74</v>
      </c>
      <c r="C61" s="18">
        <v>50.610842599999998</v>
      </c>
      <c r="D61" s="5"/>
    </row>
    <row r="62" spans="1:4" ht="15.75" x14ac:dyDescent="0.25">
      <c r="A62" s="13">
        <v>7.2</v>
      </c>
      <c r="B62" s="17" t="s">
        <v>75</v>
      </c>
      <c r="C62" s="16"/>
      <c r="D62" s="5"/>
    </row>
    <row r="63" spans="1:4" ht="15.75" x14ac:dyDescent="0.25">
      <c r="A63" s="13">
        <v>7.3</v>
      </c>
      <c r="B63" s="17" t="s">
        <v>76</v>
      </c>
      <c r="C63" s="18">
        <v>-1.26E-4</v>
      </c>
      <c r="D63" s="5"/>
    </row>
    <row r="64" spans="1:4" ht="15.75" x14ac:dyDescent="0.25">
      <c r="A64" s="13">
        <v>7.4</v>
      </c>
      <c r="B64" s="17" t="s">
        <v>77</v>
      </c>
      <c r="C64" s="18"/>
      <c r="D64" s="5"/>
    </row>
    <row r="65" spans="1:4" ht="15.75" x14ac:dyDescent="0.25">
      <c r="A65" s="13">
        <v>8</v>
      </c>
      <c r="B65" s="14" t="s">
        <v>155</v>
      </c>
      <c r="C65" s="26">
        <f>C66-C72</f>
        <v>0</v>
      </c>
      <c r="D65" s="5"/>
    </row>
    <row r="66" spans="1:4" ht="15.75" x14ac:dyDescent="0.25">
      <c r="A66" s="13">
        <v>8.1</v>
      </c>
      <c r="B66" s="17" t="s">
        <v>78</v>
      </c>
      <c r="C66" s="27">
        <f>SUM(C67:C71)</f>
        <v>0</v>
      </c>
      <c r="D66" s="5"/>
    </row>
    <row r="67" spans="1:4" ht="15.75" x14ac:dyDescent="0.25">
      <c r="A67" s="13">
        <v>8.1999999999999993</v>
      </c>
      <c r="B67" s="17" t="s">
        <v>79</v>
      </c>
      <c r="C67" s="18"/>
      <c r="D67" s="5"/>
    </row>
    <row r="68" spans="1:4" ht="15.75" x14ac:dyDescent="0.25">
      <c r="A68" s="13">
        <v>8.3000000000000007</v>
      </c>
      <c r="B68" s="17" t="s">
        <v>80</v>
      </c>
      <c r="C68" s="16"/>
      <c r="D68" s="5"/>
    </row>
    <row r="69" spans="1:4" ht="15.75" x14ac:dyDescent="0.25">
      <c r="A69" s="13">
        <v>8.4</v>
      </c>
      <c r="B69" s="17" t="s">
        <v>81</v>
      </c>
      <c r="C69" s="18"/>
      <c r="D69" s="5"/>
    </row>
    <row r="70" spans="1:4" ht="15.75" x14ac:dyDescent="0.25">
      <c r="A70" s="13">
        <v>8.5</v>
      </c>
      <c r="B70" s="17" t="s">
        <v>82</v>
      </c>
      <c r="C70" s="18"/>
      <c r="D70" s="5"/>
    </row>
    <row r="71" spans="1:4" ht="15.75" x14ac:dyDescent="0.25">
      <c r="A71" s="13">
        <v>8.6</v>
      </c>
      <c r="B71" s="17" t="s">
        <v>83</v>
      </c>
      <c r="C71" s="16"/>
      <c r="D71" s="5"/>
    </row>
    <row r="72" spans="1:4" ht="15.75" x14ac:dyDescent="0.25">
      <c r="A72" s="13">
        <v>8.6999999999999993</v>
      </c>
      <c r="B72" s="17" t="s">
        <v>84</v>
      </c>
      <c r="C72" s="18"/>
      <c r="D72" s="5"/>
    </row>
    <row r="73" spans="1:4" ht="15.75" x14ac:dyDescent="0.25">
      <c r="A73" s="13">
        <v>9</v>
      </c>
      <c r="B73" s="14" t="s">
        <v>85</v>
      </c>
      <c r="C73" s="25">
        <f>SUM(C74:C75)</f>
        <v>257214.05691538</v>
      </c>
      <c r="D73" s="5"/>
    </row>
    <row r="74" spans="1:4" ht="15.75" x14ac:dyDescent="0.25">
      <c r="A74" s="19">
        <v>9.1</v>
      </c>
      <c r="B74" s="20" t="s">
        <v>86</v>
      </c>
      <c r="C74" s="16"/>
      <c r="D74" s="5"/>
    </row>
    <row r="75" spans="1:4" ht="15.75" x14ac:dyDescent="0.25">
      <c r="A75" s="19">
        <v>9.1999999999999993</v>
      </c>
      <c r="B75" s="20" t="s">
        <v>87</v>
      </c>
      <c r="C75" s="18">
        <v>257214.05691538</v>
      </c>
      <c r="D75" s="5"/>
    </row>
    <row r="76" spans="1:4" ht="15.75" x14ac:dyDescent="0.25">
      <c r="A76" s="19"/>
      <c r="B76" s="21" t="s">
        <v>88</v>
      </c>
      <c r="C76" s="25">
        <f>C16+C60+C65+C73</f>
        <v>352811.60650822998</v>
      </c>
      <c r="D76" s="5"/>
    </row>
    <row r="77" spans="1:4" ht="15.75" x14ac:dyDescent="0.25">
      <c r="A77" s="13"/>
      <c r="B77" s="14" t="s">
        <v>89</v>
      </c>
      <c r="C77" s="16"/>
      <c r="D77" s="5"/>
    </row>
    <row r="78" spans="1:4" ht="15.75" x14ac:dyDescent="0.25">
      <c r="A78" s="13">
        <v>10</v>
      </c>
      <c r="B78" s="14" t="s">
        <v>90</v>
      </c>
      <c r="C78" s="18"/>
      <c r="D78" s="5"/>
    </row>
    <row r="79" spans="1:4" ht="15.75" x14ac:dyDescent="0.25">
      <c r="A79" s="13">
        <v>11</v>
      </c>
      <c r="B79" s="14" t="s">
        <v>91</v>
      </c>
      <c r="C79" s="34">
        <f>C80+C88+C106</f>
        <v>324807.59044409747</v>
      </c>
      <c r="D79" s="5"/>
    </row>
    <row r="80" spans="1:4" ht="15" customHeight="1" x14ac:dyDescent="0.25">
      <c r="A80" s="13">
        <v>11.1</v>
      </c>
      <c r="B80" s="17" t="s">
        <v>92</v>
      </c>
      <c r="C80" s="32">
        <f>C81+C82+C83+C84+C87</f>
        <v>45428.788935610013</v>
      </c>
      <c r="D80" s="5"/>
    </row>
    <row r="81" spans="1:4" ht="15.75" x14ac:dyDescent="0.25">
      <c r="A81" s="13" t="s">
        <v>93</v>
      </c>
      <c r="B81" s="17" t="s">
        <v>94</v>
      </c>
      <c r="C81" s="18">
        <v>44148.237952530013</v>
      </c>
      <c r="D81" s="5"/>
    </row>
    <row r="82" spans="1:4" ht="15.75" x14ac:dyDescent="0.25">
      <c r="A82" s="13" t="s">
        <v>95</v>
      </c>
      <c r="B82" s="17" t="s">
        <v>96</v>
      </c>
      <c r="C82" s="18">
        <v>891.67702419000011</v>
      </c>
      <c r="D82" s="5"/>
    </row>
    <row r="83" spans="1:4" ht="15.75" x14ac:dyDescent="0.25">
      <c r="A83" s="13" t="s">
        <v>97</v>
      </c>
      <c r="B83" s="17" t="s">
        <v>98</v>
      </c>
      <c r="C83" s="16">
        <v>388.87395888999998</v>
      </c>
      <c r="D83" s="5"/>
    </row>
    <row r="84" spans="1:4" ht="15.75" x14ac:dyDescent="0.25">
      <c r="A84" s="13" t="s">
        <v>99</v>
      </c>
      <c r="B84" s="17" t="s">
        <v>100</v>
      </c>
      <c r="C84" s="27">
        <f>SUM(C85:C86)</f>
        <v>0</v>
      </c>
      <c r="D84" s="5"/>
    </row>
    <row r="85" spans="1:4" ht="15.75" x14ac:dyDescent="0.25">
      <c r="A85" s="19" t="s">
        <v>101</v>
      </c>
      <c r="B85" s="17" t="s">
        <v>102</v>
      </c>
      <c r="C85" s="18"/>
      <c r="D85" s="5"/>
    </row>
    <row r="86" spans="1:4" ht="15.75" x14ac:dyDescent="0.25">
      <c r="A86" s="19" t="s">
        <v>103</v>
      </c>
      <c r="B86" s="17" t="s">
        <v>104</v>
      </c>
      <c r="C86" s="16"/>
      <c r="D86" s="5"/>
    </row>
    <row r="87" spans="1:4" ht="15.75" x14ac:dyDescent="0.25">
      <c r="A87" s="13" t="s">
        <v>105</v>
      </c>
      <c r="B87" s="17" t="s">
        <v>106</v>
      </c>
      <c r="C87" s="18"/>
      <c r="D87" s="5"/>
    </row>
    <row r="88" spans="1:4" ht="18" customHeight="1" x14ac:dyDescent="0.25">
      <c r="A88" s="13">
        <v>11.2</v>
      </c>
      <c r="B88" s="17" t="s">
        <v>107</v>
      </c>
      <c r="C88" s="27">
        <f>C89+C90+C91+C95+C92</f>
        <v>251834.29890862745</v>
      </c>
      <c r="D88" s="5"/>
    </row>
    <row r="89" spans="1:4" ht="15.75" x14ac:dyDescent="0.25">
      <c r="A89" s="13" t="s">
        <v>108</v>
      </c>
      <c r="B89" s="17" t="s">
        <v>94</v>
      </c>
      <c r="C89" s="16">
        <v>250438.27941126746</v>
      </c>
      <c r="D89" s="5"/>
    </row>
    <row r="90" spans="1:4" ht="15.75" x14ac:dyDescent="0.25">
      <c r="A90" s="13" t="s">
        <v>109</v>
      </c>
      <c r="B90" s="17" t="s">
        <v>96</v>
      </c>
      <c r="C90" s="18">
        <v>1281.1243779599999</v>
      </c>
      <c r="D90" s="5"/>
    </row>
    <row r="91" spans="1:4" ht="15.75" x14ac:dyDescent="0.25">
      <c r="A91" s="13" t="s">
        <v>110</v>
      </c>
      <c r="B91" s="17" t="s">
        <v>98</v>
      </c>
      <c r="C91" s="18">
        <v>114.89511940000001</v>
      </c>
      <c r="D91" s="5"/>
    </row>
    <row r="92" spans="1:4" ht="15.75" x14ac:dyDescent="0.25">
      <c r="A92" s="13" t="s">
        <v>111</v>
      </c>
      <c r="B92" s="17" t="s">
        <v>112</v>
      </c>
      <c r="C92" s="32">
        <f>SUM(C93:C94)</f>
        <v>0</v>
      </c>
      <c r="D92" s="5"/>
    </row>
    <row r="93" spans="1:4" ht="15.75" x14ac:dyDescent="0.25">
      <c r="A93" s="19" t="s">
        <v>113</v>
      </c>
      <c r="B93" s="17" t="s">
        <v>114</v>
      </c>
      <c r="C93" s="18"/>
      <c r="D93" s="5"/>
    </row>
    <row r="94" spans="1:4" ht="15.75" x14ac:dyDescent="0.25">
      <c r="A94" s="19" t="s">
        <v>115</v>
      </c>
      <c r="B94" s="17" t="s">
        <v>104</v>
      </c>
      <c r="C94" s="18"/>
      <c r="D94" s="5"/>
    </row>
    <row r="95" spans="1:4" ht="15.75" x14ac:dyDescent="0.25">
      <c r="A95" s="13" t="s">
        <v>116</v>
      </c>
      <c r="B95" s="17" t="s">
        <v>106</v>
      </c>
      <c r="C95" s="16"/>
      <c r="D95" s="5"/>
    </row>
    <row r="96" spans="1:4" ht="15.75" x14ac:dyDescent="0.25">
      <c r="A96" s="13">
        <v>12</v>
      </c>
      <c r="B96" s="14" t="s">
        <v>117</v>
      </c>
      <c r="C96" s="25">
        <f>C97+C98+C99+C100+C101+C105</f>
        <v>440.23824401999934</v>
      </c>
      <c r="D96" s="5"/>
    </row>
    <row r="97" spans="1:4" ht="15.75" x14ac:dyDescent="0.25">
      <c r="A97" s="13">
        <v>12.1</v>
      </c>
      <c r="B97" s="17" t="s">
        <v>118</v>
      </c>
      <c r="C97" s="18">
        <v>199.35923352999998</v>
      </c>
      <c r="D97" s="5"/>
    </row>
    <row r="98" spans="1:4" ht="15.75" x14ac:dyDescent="0.25">
      <c r="A98" s="13">
        <v>12.2</v>
      </c>
      <c r="B98" s="17" t="s">
        <v>119</v>
      </c>
      <c r="C98" s="16"/>
      <c r="D98" s="5"/>
    </row>
    <row r="99" spans="1:4" ht="15.75" x14ac:dyDescent="0.25">
      <c r="A99" s="13">
        <v>12.3</v>
      </c>
      <c r="B99" s="17" t="s">
        <v>120</v>
      </c>
      <c r="C99" s="18">
        <v>169.34858785</v>
      </c>
      <c r="D99" s="5"/>
    </row>
    <row r="100" spans="1:4" ht="15.75" x14ac:dyDescent="0.25">
      <c r="A100" s="13">
        <v>12.4</v>
      </c>
      <c r="B100" s="17" t="s">
        <v>121</v>
      </c>
      <c r="C100" s="18"/>
      <c r="D100" s="5"/>
    </row>
    <row r="101" spans="1:4" ht="15.75" x14ac:dyDescent="0.25">
      <c r="A101" s="13">
        <v>12.5</v>
      </c>
      <c r="B101" s="17" t="s">
        <v>122</v>
      </c>
      <c r="C101" s="32">
        <f>SUM(C102:C104)</f>
        <v>0</v>
      </c>
      <c r="D101" s="5"/>
    </row>
    <row r="102" spans="1:4" ht="15.75" x14ac:dyDescent="0.25">
      <c r="A102" s="19" t="s">
        <v>123</v>
      </c>
      <c r="B102" s="17" t="s">
        <v>124</v>
      </c>
      <c r="C102" s="18"/>
      <c r="D102" s="5"/>
    </row>
    <row r="103" spans="1:4" ht="15.75" x14ac:dyDescent="0.25">
      <c r="A103" s="19" t="s">
        <v>125</v>
      </c>
      <c r="B103" s="17" t="s">
        <v>126</v>
      </c>
      <c r="C103" s="18"/>
      <c r="D103" s="5"/>
    </row>
    <row r="104" spans="1:4" ht="15.75" x14ac:dyDescent="0.25">
      <c r="A104" s="19" t="s">
        <v>127</v>
      </c>
      <c r="B104" s="17" t="s">
        <v>128</v>
      </c>
      <c r="C104" s="16"/>
      <c r="D104" s="5"/>
    </row>
    <row r="105" spans="1:4" ht="15.75" x14ac:dyDescent="0.25">
      <c r="A105" s="13">
        <v>12.6</v>
      </c>
      <c r="B105" s="17" t="s">
        <v>129</v>
      </c>
      <c r="C105" s="18">
        <v>71.530422639999387</v>
      </c>
      <c r="D105" s="5"/>
    </row>
    <row r="106" spans="1:4" ht="15.75" x14ac:dyDescent="0.25">
      <c r="A106" s="13">
        <v>13</v>
      </c>
      <c r="B106" s="14" t="s">
        <v>130</v>
      </c>
      <c r="C106" s="25">
        <f>C107+C110</f>
        <v>27544.502599859999</v>
      </c>
      <c r="D106" s="5"/>
    </row>
    <row r="107" spans="1:4" ht="15.75" x14ac:dyDescent="0.25">
      <c r="A107" s="13">
        <v>13.1</v>
      </c>
      <c r="B107" s="17" t="s">
        <v>131</v>
      </c>
      <c r="C107" s="32">
        <f>SUM(C108:C109)</f>
        <v>0</v>
      </c>
      <c r="D107" s="5"/>
    </row>
    <row r="108" spans="1:4" ht="15.75" x14ac:dyDescent="0.25">
      <c r="A108" s="19" t="s">
        <v>132</v>
      </c>
      <c r="B108" s="17" t="s">
        <v>133</v>
      </c>
      <c r="C108" s="18"/>
      <c r="D108" s="5"/>
    </row>
    <row r="109" spans="1:4" ht="15.75" x14ac:dyDescent="0.25">
      <c r="A109" s="19" t="s">
        <v>134</v>
      </c>
      <c r="B109" s="17" t="s">
        <v>135</v>
      </c>
      <c r="C109" s="18"/>
      <c r="D109" s="5"/>
    </row>
    <row r="110" spans="1:4" ht="15.75" x14ac:dyDescent="0.25">
      <c r="A110" s="13">
        <v>13.2</v>
      </c>
      <c r="B110" s="17" t="s">
        <v>136</v>
      </c>
      <c r="C110" s="32">
        <f>SUM(C111:C112)</f>
        <v>27544.502599859999</v>
      </c>
      <c r="D110" s="5"/>
    </row>
    <row r="111" spans="1:4" ht="15.75" x14ac:dyDescent="0.25">
      <c r="A111" s="19" t="s">
        <v>137</v>
      </c>
      <c r="B111" s="17" t="s">
        <v>138</v>
      </c>
      <c r="C111" s="18">
        <v>2393.44404902</v>
      </c>
      <c r="D111" s="5"/>
    </row>
    <row r="112" spans="1:4" ht="15.75" x14ac:dyDescent="0.25">
      <c r="A112" s="19" t="s">
        <v>139</v>
      </c>
      <c r="B112" s="17" t="s">
        <v>140</v>
      </c>
      <c r="C112" s="18">
        <v>25151.05855084</v>
      </c>
      <c r="D112" s="5"/>
    </row>
    <row r="113" spans="1:4" ht="15.75" x14ac:dyDescent="0.25">
      <c r="A113" s="13">
        <v>14</v>
      </c>
      <c r="B113" s="14" t="s">
        <v>141</v>
      </c>
      <c r="C113" s="26">
        <f>SUM(C114:C115)</f>
        <v>19.247675749999999</v>
      </c>
      <c r="D113" s="5"/>
    </row>
    <row r="114" spans="1:4" ht="15.75" x14ac:dyDescent="0.25">
      <c r="A114" s="13">
        <v>14.1</v>
      </c>
      <c r="B114" s="17" t="s">
        <v>142</v>
      </c>
      <c r="C114" s="18"/>
      <c r="D114" s="5"/>
    </row>
    <row r="115" spans="1:4" ht="15.75" x14ac:dyDescent="0.25">
      <c r="A115" s="13" t="s">
        <v>143</v>
      </c>
      <c r="B115" s="17" t="s">
        <v>144</v>
      </c>
      <c r="C115" s="18">
        <v>19.247675749999999</v>
      </c>
      <c r="D115" s="5"/>
    </row>
    <row r="116" spans="1:4" ht="15.75" x14ac:dyDescent="0.25">
      <c r="A116" s="13">
        <v>15</v>
      </c>
      <c r="B116" s="14" t="s">
        <v>145</v>
      </c>
      <c r="C116" s="26">
        <f>SUM(C117:C118)</f>
        <v>0</v>
      </c>
      <c r="D116" s="5"/>
    </row>
    <row r="117" spans="1:4" ht="15.75" x14ac:dyDescent="0.25">
      <c r="A117" s="19">
        <v>15.1</v>
      </c>
      <c r="B117" s="20" t="s">
        <v>86</v>
      </c>
      <c r="C117" s="18"/>
      <c r="D117" s="5"/>
    </row>
    <row r="118" spans="1:4" ht="15.75" x14ac:dyDescent="0.25">
      <c r="A118" s="19">
        <v>15.2</v>
      </c>
      <c r="B118" s="20" t="s">
        <v>146</v>
      </c>
      <c r="C118" s="18"/>
      <c r="D118" s="5"/>
    </row>
    <row r="119" spans="1:4" ht="15.75" x14ac:dyDescent="0.25">
      <c r="A119" s="13" t="s">
        <v>147</v>
      </c>
      <c r="B119" s="14" t="s">
        <v>148</v>
      </c>
      <c r="C119" s="26">
        <f>C79+C96+C113+C116</f>
        <v>325267.07636386744</v>
      </c>
      <c r="D119" s="5"/>
    </row>
    <row r="120" spans="1:4" ht="15.75" x14ac:dyDescent="0.25">
      <c r="A120" s="13">
        <v>17</v>
      </c>
      <c r="B120" s="14" t="s">
        <v>149</v>
      </c>
      <c r="C120" s="25">
        <f>C121+C122</f>
        <v>0</v>
      </c>
      <c r="D120" s="5"/>
    </row>
    <row r="121" spans="1:4" ht="15.75" x14ac:dyDescent="0.25">
      <c r="A121" s="13">
        <v>17.100000000000001</v>
      </c>
      <c r="B121" s="17" t="s">
        <v>150</v>
      </c>
      <c r="C121" s="18"/>
      <c r="D121" s="5"/>
    </row>
    <row r="122" spans="1:4" ht="15.75" x14ac:dyDescent="0.25">
      <c r="A122" s="13">
        <v>17.2</v>
      </c>
      <c r="B122" s="17" t="s">
        <v>151</v>
      </c>
      <c r="C122" s="16"/>
      <c r="D122" s="5"/>
    </row>
    <row r="123" spans="1:4" ht="16.5" thickBot="1" x14ac:dyDescent="0.3">
      <c r="A123" s="22"/>
      <c r="B123" s="23" t="s">
        <v>152</v>
      </c>
      <c r="C123" s="31">
        <f>C119+C120</f>
        <v>325267.07636386744</v>
      </c>
      <c r="D123" s="5"/>
    </row>
    <row r="124" spans="1:4" ht="16.5" thickTop="1" x14ac:dyDescent="0.25">
      <c r="A124" s="6"/>
      <c r="B124" s="5"/>
      <c r="C124" s="5"/>
      <c r="D124" s="5"/>
    </row>
  </sheetData>
  <sheetProtection password="CF68" sheet="1" objects="1" scenarios="1"/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Dagnachew Tsegaye Demissie</cp:lastModifiedBy>
  <dcterms:created xsi:type="dcterms:W3CDTF">2016-09-15T19:54:51Z</dcterms:created>
  <dcterms:modified xsi:type="dcterms:W3CDTF">2026-09-02T08:05:36Z</dcterms:modified>
</cp:coreProperties>
</file>