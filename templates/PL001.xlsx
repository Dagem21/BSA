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0730" windowHeight="11760"/>
  </bookViews>
  <sheets>
    <sheet name="PRO&amp;LOS_PL00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/>
  <c r="C18" s="1"/>
  <c r="C25" s="1"/>
  <c r="C37"/>
  <c r="C31"/>
  <c r="C26"/>
  <c r="C29" s="1"/>
  <c r="C30" l="1"/>
  <c r="C36" s="1"/>
  <c r="C17"/>
  <c r="C42" l="1"/>
  <c r="C43" s="1"/>
  <c r="C44" s="1"/>
</calcChain>
</file>

<file path=xl/sharedStrings.xml><?xml version="1.0" encoding="utf-8"?>
<sst xmlns="http://schemas.openxmlformats.org/spreadsheetml/2006/main" count="42" uniqueCount="42">
  <si>
    <t>PROFIT AND LOSS STATEMENT</t>
  </si>
  <si>
    <t xml:space="preserve">Instiution code </t>
  </si>
  <si>
    <t>Financial Year</t>
  </si>
  <si>
    <t>Start Date</t>
  </si>
  <si>
    <t>End Date</t>
  </si>
  <si>
    <t>Code</t>
  </si>
  <si>
    <t>Description</t>
  </si>
  <si>
    <t>Amount</t>
  </si>
  <si>
    <t>Interest income</t>
  </si>
  <si>
    <t>Interest expense</t>
  </si>
  <si>
    <t>Net interest income (1-2)</t>
  </si>
  <si>
    <t>Non-interest income (Sum 4.1-4.4)</t>
  </si>
  <si>
    <t>Service charge &amp; commission(4.1.1+4.1.2)</t>
  </si>
  <si>
    <t>4.1.1</t>
  </si>
  <si>
    <t>Local</t>
  </si>
  <si>
    <t>4.1.2</t>
  </si>
  <si>
    <t>Foreign</t>
  </si>
  <si>
    <t>Gains or losses on financial instruments</t>
  </si>
  <si>
    <t>Prorated earnings</t>
  </si>
  <si>
    <t>Other income</t>
  </si>
  <si>
    <t>Gross income (1+4)</t>
  </si>
  <si>
    <t>Non interest expenses ( 6.1+6.2)</t>
  </si>
  <si>
    <t>Employees salaries &amp; benefits</t>
  </si>
  <si>
    <t>General expenses and adminstrative expenses</t>
  </si>
  <si>
    <t>Total Expenses (Sum 2+6)</t>
  </si>
  <si>
    <t>Operating income before tax &amp; provisions (5-7)</t>
  </si>
  <si>
    <t>Provisions (Sum 9.1-9.3)</t>
  </si>
  <si>
    <t>Provisions for performing loans &amp; advances</t>
  </si>
  <si>
    <t>Specific provisions for loan losses</t>
  </si>
  <si>
    <t>Provisions for other financial assets</t>
  </si>
  <si>
    <t xml:space="preserve">Extraordinary expense </t>
  </si>
  <si>
    <t>Operating income after provisions and extraordinary expense[8-(9+10)]</t>
  </si>
  <si>
    <t>Non-taxable income (sum 12.1-12.4)</t>
  </si>
  <si>
    <t>Income from Treasury Bills</t>
  </si>
  <si>
    <t>Income from NBE Bills</t>
  </si>
  <si>
    <t>Income from DBE-Bonds</t>
  </si>
  <si>
    <t xml:space="preserve">Others </t>
  </si>
  <si>
    <t>Taxable Income (11-12)</t>
  </si>
  <si>
    <t xml:space="preserve">Business profit tax </t>
  </si>
  <si>
    <t>Net income (11-14)</t>
  </si>
  <si>
    <t>PRO&amp;LOS_PL001</t>
  </si>
  <si>
    <t>In Millions of Birr</t>
  </si>
</sst>
</file>

<file path=xl/styles.xml><?xml version="1.0" encoding="utf-8"?>
<styleSheet xmlns="http://schemas.openxmlformats.org/spreadsheetml/2006/main">
  <numFmts count="1">
    <numFmt numFmtId="169" formatCode="[$-10452]yyyy\-mm\-dd;@"/>
  </numFmts>
  <fonts count="7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color rgb="FF11111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 style="thick">
        <color rgb="FFFF0000"/>
      </bottom>
      <diagonal/>
    </border>
    <border>
      <left style="thick">
        <color rgb="FF00B050"/>
      </left>
      <right style="thick">
        <color rgb="FF00B050"/>
      </right>
      <top style="thin">
        <color indexed="64"/>
      </top>
      <bottom style="thin">
        <color indexed="64"/>
      </bottom>
      <diagonal/>
    </border>
    <border>
      <left style="thick">
        <color rgb="FF00B050"/>
      </left>
      <right style="thick">
        <color rgb="FF00B050"/>
      </right>
      <top style="thin">
        <color indexed="64"/>
      </top>
      <bottom style="thick">
        <color rgb="FF00B050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 style="thick">
        <color rgb="FF7030A0"/>
      </left>
      <right/>
      <top/>
      <bottom style="thin">
        <color indexed="64"/>
      </bottom>
      <diagonal/>
    </border>
    <border>
      <left/>
      <right style="thick">
        <color rgb="FF7030A0"/>
      </right>
      <top/>
      <bottom style="thin">
        <color indexed="64"/>
      </bottom>
      <diagonal/>
    </border>
    <border>
      <left style="thick">
        <color rgb="FF7030A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7030A0"/>
      </right>
      <top/>
      <bottom style="thin">
        <color indexed="64"/>
      </bottom>
      <diagonal/>
    </border>
    <border>
      <left style="thick">
        <color rgb="FF7030A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7030A0"/>
      </left>
      <right/>
      <top style="thin">
        <color indexed="64"/>
      </top>
      <bottom style="thin">
        <color indexed="64"/>
      </bottom>
      <diagonal/>
    </border>
    <border>
      <left style="thick">
        <color rgb="FF7030A0"/>
      </left>
      <right/>
      <top style="thin">
        <color indexed="64"/>
      </top>
      <bottom style="thick">
        <color rgb="FF7030A0"/>
      </bottom>
      <diagonal/>
    </border>
    <border>
      <left/>
      <right style="thin">
        <color indexed="64"/>
      </right>
      <top style="thin">
        <color indexed="64"/>
      </top>
      <bottom style="thick">
        <color rgb="FF7030A0"/>
      </bottom>
      <diagonal/>
    </border>
    <border>
      <left style="thin">
        <color indexed="64"/>
      </left>
      <right style="thick">
        <color rgb="FF7030A0"/>
      </right>
      <top/>
      <bottom style="thick">
        <color rgb="FF7030A0"/>
      </bottom>
      <diagonal/>
    </border>
    <border>
      <left style="thick">
        <color rgb="FF00B050"/>
      </left>
      <right style="thick">
        <color rgb="FF00B050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Font="1"/>
    <xf numFmtId="0" fontId="5" fillId="3" borderId="2" xfId="0" applyFont="1" applyFill="1" applyBorder="1" applyAlignment="1"/>
    <xf numFmtId="0" fontId="5" fillId="3" borderId="3" xfId="0" applyFont="1" applyFill="1" applyBorder="1" applyAlignment="1"/>
    <xf numFmtId="0" fontId="6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39" fontId="1" fillId="0" borderId="11" xfId="0" applyNumberFormat="1" applyFont="1" applyBorder="1" applyAlignment="1">
      <alignment vertical="top" wrapText="1"/>
    </xf>
    <xf numFmtId="0" fontId="5" fillId="3" borderId="20" xfId="0" applyFont="1" applyFill="1" applyBorder="1" applyAlignment="1"/>
    <xf numFmtId="0" fontId="5" fillId="3" borderId="22" xfId="0" applyFont="1" applyFill="1" applyBorder="1" applyAlignment="1"/>
    <xf numFmtId="39" fontId="1" fillId="2" borderId="12" xfId="0" applyNumberFormat="1" applyFont="1" applyFill="1" applyBorder="1" applyAlignment="1">
      <alignment vertical="top" wrapText="1"/>
    </xf>
    <xf numFmtId="39" fontId="6" fillId="0" borderId="27" xfId="0" applyNumberFormat="1" applyFont="1" applyBorder="1" applyAlignment="1">
      <alignment horizontal="center" vertical="top" wrapText="1"/>
    </xf>
    <xf numFmtId="0" fontId="3" fillId="4" borderId="3" xfId="0" applyFont="1" applyFill="1" applyBorder="1"/>
    <xf numFmtId="49" fontId="1" fillId="3" borderId="21" xfId="0" applyNumberFormat="1" applyFont="1" applyFill="1" applyBorder="1" applyAlignment="1" applyProtection="1">
      <alignment horizontal="right"/>
      <protection locked="0"/>
    </xf>
    <xf numFmtId="39" fontId="1" fillId="0" borderId="11" xfId="0" applyNumberFormat="1" applyFont="1" applyBorder="1" applyAlignment="1" applyProtection="1">
      <alignment vertical="top" wrapText="1"/>
      <protection locked="0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5" fillId="3" borderId="23" xfId="0" applyFont="1" applyFill="1" applyBorder="1" applyAlignment="1"/>
    <xf numFmtId="0" fontId="5" fillId="3" borderId="4" xfId="0" applyFont="1" applyFill="1" applyBorder="1" applyAlignment="1"/>
    <xf numFmtId="0" fontId="5" fillId="3" borderId="24" xfId="0" applyFont="1" applyFill="1" applyBorder="1" applyAlignment="1"/>
    <xf numFmtId="0" fontId="5" fillId="3" borderId="25" xfId="0" applyFont="1" applyFill="1" applyBorder="1" applyAlignment="1"/>
    <xf numFmtId="39" fontId="1" fillId="0" borderId="11" xfId="0" applyNumberFormat="1" applyFont="1" applyBorder="1" applyAlignment="1" applyProtection="1">
      <alignment vertical="top" wrapText="1"/>
    </xf>
    <xf numFmtId="169" fontId="1" fillId="3" borderId="21" xfId="0" applyNumberFormat="1" applyFont="1" applyFill="1" applyBorder="1" applyAlignment="1" applyProtection="1">
      <alignment horizontal="right"/>
      <protection locked="0"/>
    </xf>
    <xf numFmtId="169" fontId="1" fillId="3" borderId="26" xfId="0" applyNumberFormat="1" applyFont="1" applyFill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>
      <selection activeCell="G18" sqref="G18"/>
    </sheetView>
  </sheetViews>
  <sheetFormatPr defaultRowHeight="15"/>
  <cols>
    <col min="2" max="2" width="65.85546875" customWidth="1"/>
    <col min="3" max="3" width="20.140625" customWidth="1"/>
  </cols>
  <sheetData>
    <row r="1" spans="1:3">
      <c r="A1" s="1" t="s">
        <v>40</v>
      </c>
      <c r="B1" s="2"/>
      <c r="C1" s="2"/>
    </row>
    <row r="2" spans="1:3">
      <c r="A2" s="2"/>
      <c r="B2" s="2"/>
      <c r="C2" s="2"/>
    </row>
    <row r="3" spans="1:3" ht="15.75" thickBot="1">
      <c r="A3" s="2"/>
      <c r="B3" s="2"/>
      <c r="C3" s="2"/>
    </row>
    <row r="4" spans="1:3" ht="15.75" thickTop="1">
      <c r="A4" s="19" t="s">
        <v>0</v>
      </c>
      <c r="B4" s="20"/>
      <c r="C4" s="21"/>
    </row>
    <row r="5" spans="1:3">
      <c r="A5" s="22"/>
      <c r="B5" s="23"/>
      <c r="C5" s="24"/>
    </row>
    <row r="6" spans="1:3">
      <c r="A6" s="22"/>
      <c r="B6" s="23"/>
      <c r="C6" s="24"/>
    </row>
    <row r="7" spans="1:3">
      <c r="A7" s="25"/>
      <c r="B7" s="26"/>
      <c r="C7" s="27"/>
    </row>
    <row r="8" spans="1:3" ht="15.75">
      <c r="A8" s="12" t="s">
        <v>1</v>
      </c>
      <c r="B8" s="3"/>
      <c r="C8" s="17"/>
    </row>
    <row r="9" spans="1:3" ht="15.75">
      <c r="A9" s="13" t="s">
        <v>2</v>
      </c>
      <c r="B9" s="4"/>
      <c r="C9" s="17"/>
    </row>
    <row r="10" spans="1:3" ht="15.75">
      <c r="A10" s="28" t="s">
        <v>3</v>
      </c>
      <c r="B10" s="29"/>
      <c r="C10" s="33"/>
    </row>
    <row r="11" spans="1:3" ht="16.5" thickBot="1">
      <c r="A11" s="30" t="s">
        <v>4</v>
      </c>
      <c r="B11" s="31"/>
      <c r="C11" s="34"/>
    </row>
    <row r="12" spans="1:3" ht="15.75" thickTop="1">
      <c r="A12" s="2"/>
      <c r="B12" s="2"/>
      <c r="C12" s="2"/>
    </row>
    <row r="13" spans="1:3" ht="15.75" thickBot="1">
      <c r="A13" s="2"/>
      <c r="B13" s="2"/>
      <c r="C13" s="16" t="s">
        <v>41</v>
      </c>
    </row>
    <row r="14" spans="1:3" ht="16.5" thickTop="1">
      <c r="A14" s="5" t="s">
        <v>5</v>
      </c>
      <c r="B14" s="8" t="s">
        <v>6</v>
      </c>
      <c r="C14" s="15" t="s">
        <v>7</v>
      </c>
    </row>
    <row r="15" spans="1:3" ht="15.75">
      <c r="A15" s="6">
        <v>1</v>
      </c>
      <c r="B15" s="9" t="s">
        <v>8</v>
      </c>
      <c r="C15" s="18"/>
    </row>
    <row r="16" spans="1:3" ht="15.75">
      <c r="A16" s="6">
        <v>2</v>
      </c>
      <c r="B16" s="9" t="s">
        <v>9</v>
      </c>
      <c r="C16" s="18"/>
    </row>
    <row r="17" spans="1:3" ht="15.75">
      <c r="A17" s="6">
        <v>3</v>
      </c>
      <c r="B17" s="9" t="s">
        <v>10</v>
      </c>
      <c r="C17" s="11">
        <f>C15-C16</f>
        <v>0</v>
      </c>
    </row>
    <row r="18" spans="1:3" ht="15.75">
      <c r="A18" s="6">
        <v>4</v>
      </c>
      <c r="B18" s="9" t="s">
        <v>11</v>
      </c>
      <c r="C18" s="11">
        <f>C19+C22+C23+C24</f>
        <v>0</v>
      </c>
    </row>
    <row r="19" spans="1:3" ht="15.75">
      <c r="A19" s="6">
        <v>4.0999999999999996</v>
      </c>
      <c r="B19" s="9" t="s">
        <v>12</v>
      </c>
      <c r="C19" s="32">
        <f>C20+C21</f>
        <v>0</v>
      </c>
    </row>
    <row r="20" spans="1:3" ht="15.75">
      <c r="A20" s="6" t="s">
        <v>13</v>
      </c>
      <c r="B20" s="9" t="s">
        <v>14</v>
      </c>
      <c r="C20" s="18"/>
    </row>
    <row r="21" spans="1:3" ht="15.75">
      <c r="A21" s="6" t="s">
        <v>15</v>
      </c>
      <c r="B21" s="9" t="s">
        <v>16</v>
      </c>
      <c r="C21" s="18"/>
    </row>
    <row r="22" spans="1:3" ht="15.75">
      <c r="A22" s="6">
        <v>4.2</v>
      </c>
      <c r="B22" s="9" t="s">
        <v>17</v>
      </c>
      <c r="C22" s="18"/>
    </row>
    <row r="23" spans="1:3" ht="15.75">
      <c r="A23" s="6">
        <v>4.3</v>
      </c>
      <c r="B23" s="9" t="s">
        <v>18</v>
      </c>
      <c r="C23" s="18"/>
    </row>
    <row r="24" spans="1:3" ht="15.75">
      <c r="A24" s="6">
        <v>4.4000000000000004</v>
      </c>
      <c r="B24" s="9" t="s">
        <v>19</v>
      </c>
      <c r="C24" s="18"/>
    </row>
    <row r="25" spans="1:3" ht="15.75">
      <c r="A25" s="6">
        <v>5</v>
      </c>
      <c r="B25" s="9" t="s">
        <v>20</v>
      </c>
      <c r="C25" s="11">
        <f>C15+C18</f>
        <v>0</v>
      </c>
    </row>
    <row r="26" spans="1:3" ht="15.75">
      <c r="A26" s="6">
        <v>6</v>
      </c>
      <c r="B26" s="9" t="s">
        <v>21</v>
      </c>
      <c r="C26" s="11">
        <f>C27+C28</f>
        <v>0</v>
      </c>
    </row>
    <row r="27" spans="1:3" ht="15.75">
      <c r="A27" s="6">
        <v>6.1</v>
      </c>
      <c r="B27" s="9" t="s">
        <v>22</v>
      </c>
      <c r="C27" s="18"/>
    </row>
    <row r="28" spans="1:3" ht="15.75">
      <c r="A28" s="6">
        <v>6.2</v>
      </c>
      <c r="B28" s="9" t="s">
        <v>23</v>
      </c>
      <c r="C28" s="18"/>
    </row>
    <row r="29" spans="1:3" ht="15.75">
      <c r="A29" s="6">
        <v>7</v>
      </c>
      <c r="B29" s="9" t="s">
        <v>24</v>
      </c>
      <c r="C29" s="11">
        <f>C16+C26</f>
        <v>0</v>
      </c>
    </row>
    <row r="30" spans="1:3" ht="15.75">
      <c r="A30" s="6">
        <v>8</v>
      </c>
      <c r="B30" s="9" t="s">
        <v>25</v>
      </c>
      <c r="C30" s="11">
        <f>C25-C29</f>
        <v>0</v>
      </c>
    </row>
    <row r="31" spans="1:3" ht="15.75">
      <c r="A31" s="6">
        <v>9</v>
      </c>
      <c r="B31" s="9" t="s">
        <v>26</v>
      </c>
      <c r="C31" s="11">
        <f>C32+C33+C34</f>
        <v>0</v>
      </c>
    </row>
    <row r="32" spans="1:3" ht="15.75">
      <c r="A32" s="6">
        <v>9.1</v>
      </c>
      <c r="B32" s="9" t="s">
        <v>27</v>
      </c>
      <c r="C32" s="18"/>
    </row>
    <row r="33" spans="1:3" ht="15.75">
      <c r="A33" s="6">
        <v>9.1999999999999993</v>
      </c>
      <c r="B33" s="9" t="s">
        <v>28</v>
      </c>
      <c r="C33" s="18"/>
    </row>
    <row r="34" spans="1:3" ht="15.75">
      <c r="A34" s="6">
        <v>9.3000000000000007</v>
      </c>
      <c r="B34" s="9" t="s">
        <v>29</v>
      </c>
      <c r="C34" s="18"/>
    </row>
    <row r="35" spans="1:3" ht="15.75">
      <c r="A35" s="6">
        <v>10</v>
      </c>
      <c r="B35" s="9" t="s">
        <v>30</v>
      </c>
      <c r="C35" s="18"/>
    </row>
    <row r="36" spans="1:3" ht="15.75">
      <c r="A36" s="6">
        <v>11</v>
      </c>
      <c r="B36" s="9" t="s">
        <v>31</v>
      </c>
      <c r="C36" s="11">
        <f>C30-(C31+C35)</f>
        <v>0</v>
      </c>
    </row>
    <row r="37" spans="1:3" ht="15.75">
      <c r="A37" s="6">
        <v>12</v>
      </c>
      <c r="B37" s="9" t="s">
        <v>32</v>
      </c>
      <c r="C37" s="11">
        <f>C38+C39+C40+C41</f>
        <v>0</v>
      </c>
    </row>
    <row r="38" spans="1:3" ht="15.75">
      <c r="A38" s="6">
        <v>12.1</v>
      </c>
      <c r="B38" s="9" t="s">
        <v>33</v>
      </c>
      <c r="C38" s="18"/>
    </row>
    <row r="39" spans="1:3" ht="15.75">
      <c r="A39" s="6">
        <v>12.2</v>
      </c>
      <c r="B39" s="9" t="s">
        <v>34</v>
      </c>
      <c r="C39" s="18"/>
    </row>
    <row r="40" spans="1:3" ht="15.75">
      <c r="A40" s="6">
        <v>12.3</v>
      </c>
      <c r="B40" s="9" t="s">
        <v>35</v>
      </c>
      <c r="C40" s="18"/>
    </row>
    <row r="41" spans="1:3" ht="15.75">
      <c r="A41" s="6">
        <v>12.4</v>
      </c>
      <c r="B41" s="9" t="s">
        <v>36</v>
      </c>
      <c r="C41" s="18"/>
    </row>
    <row r="42" spans="1:3" ht="15.75">
      <c r="A42" s="6">
        <v>13</v>
      </c>
      <c r="B42" s="9" t="s">
        <v>37</v>
      </c>
      <c r="C42" s="11">
        <f>C36-C37</f>
        <v>0</v>
      </c>
    </row>
    <row r="43" spans="1:3" ht="15.75">
      <c r="A43" s="6">
        <v>14</v>
      </c>
      <c r="B43" s="9" t="s">
        <v>38</v>
      </c>
      <c r="C43" s="11">
        <f>IF(C42&lt;0,"0",C42*0.3)</f>
        <v>0</v>
      </c>
    </row>
    <row r="44" spans="1:3" ht="16.5" thickBot="1">
      <c r="A44" s="7">
        <v>15</v>
      </c>
      <c r="B44" s="10" t="s">
        <v>39</v>
      </c>
      <c r="C44" s="14">
        <f>C36-C43</f>
        <v>0</v>
      </c>
    </row>
    <row r="45" spans="1:3" ht="15.75" thickTop="1">
      <c r="A45" s="2"/>
      <c r="B45" s="2"/>
      <c r="C45" s="2"/>
    </row>
    <row r="46" spans="1:3">
      <c r="A46" s="2"/>
      <c r="B46" s="2"/>
      <c r="C46" s="2"/>
    </row>
    <row r="47" spans="1:3">
      <c r="A47" s="2"/>
      <c r="B47" s="2"/>
      <c r="C47" s="2"/>
    </row>
    <row r="48" spans="1:3">
      <c r="A48" s="2"/>
      <c r="B48" s="2"/>
      <c r="C48" s="2"/>
    </row>
  </sheetData>
  <sheetProtection password="CF68" sheet="1" objects="1" scenarios="1"/>
  <mergeCells count="3">
    <mergeCell ref="A4:C7"/>
    <mergeCell ref="A10:B10"/>
    <mergeCell ref="A11:B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PRO&amp;LOS_PL001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Turay Filipe de Melo</dc:creator>
  <cp:lastModifiedBy>wubeshetf</cp:lastModifiedBy>
  <dcterms:created xsi:type="dcterms:W3CDTF">2016-09-20T08:20:48Z</dcterms:created>
  <dcterms:modified xsi:type="dcterms:W3CDTF">2017-12-20T13:45:23Z</dcterms:modified>
</cp:coreProperties>
</file>