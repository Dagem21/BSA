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hletTeklemariam\Documents\Monthly Report\2026\Monthly Report\NBE Repot\Sep 2026\Templ\"/>
    </mc:Choice>
  </mc:AlternateContent>
  <bookViews>
    <workbookView xWindow="0" yWindow="0" windowWidth="10245" windowHeight="6300"/>
  </bookViews>
  <sheets>
    <sheet name="CAP_ADQ_OFB_QO0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G18" i="1" s="1"/>
  <c r="E19" i="1"/>
  <c r="G19" i="1" s="1"/>
  <c r="E20" i="1"/>
  <c r="G20" i="1" s="1"/>
  <c r="E21" i="1"/>
  <c r="G21" i="1" s="1"/>
  <c r="E23" i="1"/>
  <c r="G23" i="1" s="1"/>
  <c r="E24" i="1"/>
  <c r="G24" i="1" s="1"/>
  <c r="E25" i="1"/>
  <c r="G25" i="1" s="1"/>
  <c r="E26" i="1"/>
  <c r="G26" i="1" s="1"/>
  <c r="E28" i="1"/>
  <c r="G28" i="1" s="1"/>
  <c r="E29" i="1"/>
  <c r="G29" i="1" s="1"/>
  <c r="E30" i="1"/>
  <c r="G30" i="1" s="1"/>
  <c r="E31" i="1"/>
  <c r="G31" i="1" s="1"/>
  <c r="E33" i="1"/>
  <c r="G33" i="1" s="1"/>
  <c r="E34" i="1"/>
  <c r="G34" i="1" s="1"/>
  <c r="E35" i="1"/>
  <c r="G35" i="1" s="1"/>
  <c r="E36" i="1"/>
  <c r="G36" i="1" s="1"/>
  <c r="E16" i="1"/>
  <c r="G16" i="1" s="1"/>
  <c r="G38" i="1" l="1"/>
</calcChain>
</file>

<file path=xl/sharedStrings.xml><?xml version="1.0" encoding="utf-8"?>
<sst xmlns="http://schemas.openxmlformats.org/spreadsheetml/2006/main" count="45" uniqueCount="35">
  <si>
    <t>CAP_ADQ_OFB_QO001</t>
  </si>
  <si>
    <t xml:space="preserve">Instiution code </t>
  </si>
  <si>
    <t>Financial Year</t>
  </si>
  <si>
    <t>Start Date</t>
  </si>
  <si>
    <t>End Date</t>
  </si>
  <si>
    <t>In millions of Birr</t>
  </si>
  <si>
    <t>Code</t>
  </si>
  <si>
    <t>Off-Balance Sheet Assets (OBSA)</t>
  </si>
  <si>
    <t>Face Value</t>
  </si>
  <si>
    <t>Credit Conversion Factor (%)</t>
  </si>
  <si>
    <t>Amount</t>
  </si>
  <si>
    <t>Weight (%)</t>
  </si>
  <si>
    <t xml:space="preserve">Credit Equivalent </t>
  </si>
  <si>
    <t>A</t>
  </si>
  <si>
    <t>B</t>
  </si>
  <si>
    <t>C= AxB</t>
  </si>
  <si>
    <t>D</t>
  </si>
  <si>
    <t>E=CxD</t>
  </si>
  <si>
    <t>Commitments to purchase  and/or sell FCY</t>
  </si>
  <si>
    <t>Federal government</t>
  </si>
  <si>
    <t>Regional government</t>
  </si>
  <si>
    <t>Bank (domestic/foreign)</t>
  </si>
  <si>
    <t>All others</t>
  </si>
  <si>
    <t>Loan commitments Guaranteed by:</t>
  </si>
  <si>
    <t>All other</t>
  </si>
  <si>
    <t>Guarantees issued by the bank (bid bonds, performance bonds, etc) If counterparty is:</t>
  </si>
  <si>
    <t>Federalral government</t>
  </si>
  <si>
    <t>Commercial letter of credit Guaranteed by:</t>
  </si>
  <si>
    <t>Others**</t>
  </si>
  <si>
    <t>Total Risk weighted Off - BSA</t>
  </si>
  <si>
    <t xml:space="preserve"> CAPITAL ADEQUACY REPORT: Off-Balance Sheet </t>
  </si>
  <si>
    <t>Standby letters of credit Guaranteed by:</t>
  </si>
  <si>
    <t>** Factor to be determined on a case- by- basis in consultation with the NBE.</t>
  </si>
  <si>
    <t>0000001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</si>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</sst>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rgb="FFC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00B05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B050"/>
      </right>
      <top style="thin">
        <color indexed="64"/>
      </top>
      <bottom style="thick">
        <color rgb="FF00B05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1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39" fontId="5" fillId="0" borderId="10" xfId="0" applyNumberFormat="1" applyFont="1" applyBorder="1" applyAlignment="1">
      <alignment horizontal="center" vertical="top" wrapText="1"/>
    </xf>
    <xf numFmtId="0" fontId="2" fillId="3" borderId="9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4" fillId="0" borderId="13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39" fontId="5" fillId="0" borderId="15" xfId="0" applyNumberFormat="1" applyFont="1" applyBorder="1" applyAlignment="1">
      <alignment horizontal="center" vertical="top" wrapText="1"/>
    </xf>
    <xf numFmtId="39" fontId="5" fillId="0" borderId="15" xfId="0" applyNumberFormat="1" applyFont="1" applyBorder="1" applyAlignment="1">
      <alignment vertical="top" wrapText="1"/>
    </xf>
    <xf numFmtId="0" fontId="5" fillId="0" borderId="17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20" xfId="0" applyFont="1" applyBorder="1" applyAlignment="1">
      <alignment vertical="top" wrapText="1"/>
    </xf>
    <xf numFmtId="0" fontId="5" fillId="0" borderId="21" xfId="0" applyFont="1" applyBorder="1" applyAlignment="1">
      <alignment horizontal="center" vertical="top" wrapText="1"/>
    </xf>
    <xf numFmtId="0" fontId="5" fillId="0" borderId="22" xfId="0" applyFont="1" applyBorder="1" applyAlignment="1">
      <alignment vertical="top" wrapText="1"/>
    </xf>
    <xf numFmtId="39" fontId="5" fillId="2" borderId="19" xfId="0" applyNumberFormat="1" applyFont="1" applyFill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26" xfId="0" applyFont="1" applyBorder="1" applyAlignment="1">
      <alignment horizontal="center" vertical="top" wrapText="1"/>
    </xf>
    <xf numFmtId="39" fontId="5" fillId="5" borderId="23" xfId="0" applyNumberFormat="1" applyFont="1" applyFill="1" applyBorder="1" applyAlignment="1" applyProtection="1">
      <alignment vertical="top" wrapText="1"/>
      <protection locked="0"/>
    </xf>
    <xf numFmtId="39" fontId="5" fillId="5" borderId="24" xfId="0" applyNumberFormat="1" applyFont="1" applyFill="1" applyBorder="1" applyAlignment="1" applyProtection="1">
      <alignment vertical="top" wrapText="1"/>
      <protection locked="0"/>
    </xf>
    <xf numFmtId="0" fontId="5" fillId="5" borderId="25" xfId="0" applyFont="1" applyFill="1" applyBorder="1" applyAlignment="1" applyProtection="1">
      <alignment vertical="top" wrapText="1"/>
      <protection locked="0"/>
    </xf>
    <xf numFmtId="0" fontId="3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49" fontId="5" fillId="6" borderId="10" xfId="0" applyNumberFormat="1" applyFont="1" applyFill="1" applyBorder="1" applyAlignment="1" applyProtection="1">
      <alignment horizontal="right"/>
      <protection locked="0"/>
    </xf>
    <xf numFmtId="49" fontId="5" fillId="6" borderId="27" xfId="0" applyNumberFormat="1" applyFont="1" applyFill="1" applyBorder="1" applyAlignment="1" applyProtection="1">
      <alignment horizontal="right"/>
      <protection locked="0"/>
    </xf>
    <xf numFmtId="164" fontId="5" fillId="6" borderId="27" xfId="0" applyNumberFormat="1" applyFont="1" applyFill="1" applyBorder="1" applyAlignment="1" applyProtection="1">
      <alignment horizontal="right"/>
      <protection locked="0"/>
    </xf>
    <xf numFmtId="164" fontId="5" fillId="6" borderId="28" xfId="0" applyNumberFormat="1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C23" sqref="C23:C36"/>
    </sheetView>
  </sheetViews>
  <sheetFormatPr defaultRowHeight="15" x14ac:dyDescent="0.25"/>
  <cols>
    <col min="2" max="2" width="47.5703125" customWidth="1"/>
    <col min="3" max="3" width="12.42578125" customWidth="1"/>
    <col min="4" max="4" width="19.7109375" style="1" customWidth="1"/>
    <col min="5" max="5" width="15.85546875" customWidth="1"/>
    <col min="6" max="6" width="15.7109375" style="1" customWidth="1"/>
    <col min="7" max="7" width="19.85546875" customWidth="1"/>
  </cols>
  <sheetData>
    <row r="1" spans="1:7" x14ac:dyDescent="0.25">
      <c r="A1" t="s">
        <v>0</v>
      </c>
    </row>
    <row r="4" spans="1:7" x14ac:dyDescent="0.25">
      <c r="A4" s="32" t="s">
        <v>30</v>
      </c>
      <c r="B4" s="33"/>
      <c r="C4" s="33"/>
      <c r="D4" s="33"/>
      <c r="E4" s="34"/>
    </row>
    <row r="5" spans="1:7" x14ac:dyDescent="0.25">
      <c r="A5" s="35"/>
      <c r="B5" s="36"/>
      <c r="C5" s="36"/>
      <c r="D5" s="36"/>
      <c r="E5" s="37"/>
    </row>
    <row r="6" spans="1:7" x14ac:dyDescent="0.25">
      <c r="A6" s="35"/>
      <c r="B6" s="36"/>
      <c r="C6" s="36"/>
      <c r="D6" s="36"/>
      <c r="E6" s="37"/>
    </row>
    <row r="7" spans="1:7" x14ac:dyDescent="0.25">
      <c r="A7" s="38"/>
      <c r="B7" s="39"/>
      <c r="C7" s="39"/>
      <c r="D7" s="39"/>
      <c r="E7" s="40"/>
    </row>
    <row r="8" spans="1:7" ht="15.75" x14ac:dyDescent="0.25">
      <c r="A8" s="10" t="s">
        <v>1</v>
      </c>
      <c r="B8" s="10"/>
      <c r="C8" s="47" t="s">
        <v>33</v>
      </c>
      <c r="D8" s="2"/>
      <c r="E8" s="3"/>
    </row>
    <row r="9" spans="1:7" ht="15.75" x14ac:dyDescent="0.25">
      <c r="A9" s="11" t="s">
        <v>2</v>
      </c>
      <c r="B9" s="11"/>
      <c r="C9" s="48" t="s">
        <v>34</v>
      </c>
      <c r="D9" s="2"/>
      <c r="E9" s="3"/>
    </row>
    <row r="10" spans="1:7" ht="15.75" x14ac:dyDescent="0.25">
      <c r="A10" s="41" t="s">
        <v>3</v>
      </c>
      <c r="B10" s="41"/>
      <c r="C10" s="49">
        <v>46204</v>
      </c>
      <c r="D10" s="2"/>
      <c r="E10" s="3"/>
    </row>
    <row r="11" spans="1:7" ht="16.5" thickBot="1" x14ac:dyDescent="0.3">
      <c r="A11" s="41" t="s">
        <v>4</v>
      </c>
      <c r="B11" s="41"/>
      <c r="C11" s="50">
        <v>46295</v>
      </c>
      <c r="D11" s="2"/>
      <c r="E11" s="3"/>
    </row>
    <row r="12" spans="1:7" ht="15.75" thickTop="1" x14ac:dyDescent="0.25"/>
    <row r="13" spans="1:7" ht="15.75" thickBot="1" x14ac:dyDescent="0.3">
      <c r="F13" s="42" t="s">
        <v>5</v>
      </c>
      <c r="G13" s="42"/>
    </row>
    <row r="14" spans="1:7" ht="32.25" thickTop="1" x14ac:dyDescent="0.25">
      <c r="A14" s="43" t="s">
        <v>6</v>
      </c>
      <c r="B14" s="45" t="s">
        <v>7</v>
      </c>
      <c r="C14" s="12" t="s">
        <v>8</v>
      </c>
      <c r="D14" s="12" t="s">
        <v>9</v>
      </c>
      <c r="E14" s="12" t="s">
        <v>10</v>
      </c>
      <c r="F14" s="25" t="s">
        <v>11</v>
      </c>
      <c r="G14" s="26" t="s">
        <v>12</v>
      </c>
    </row>
    <row r="15" spans="1:7" ht="16.5" thickBot="1" x14ac:dyDescent="0.3">
      <c r="A15" s="44"/>
      <c r="B15" s="46"/>
      <c r="C15" s="4" t="s">
        <v>13</v>
      </c>
      <c r="D15" s="6" t="s">
        <v>14</v>
      </c>
      <c r="E15" s="5" t="s">
        <v>15</v>
      </c>
      <c r="F15" s="5" t="s">
        <v>16</v>
      </c>
      <c r="G15" s="13" t="s">
        <v>17</v>
      </c>
    </row>
    <row r="16" spans="1:7" ht="15.75" x14ac:dyDescent="0.25">
      <c r="A16" s="14">
        <v>10</v>
      </c>
      <c r="B16" s="21" t="s">
        <v>18</v>
      </c>
      <c r="C16" s="27"/>
      <c r="D16" s="22">
        <v>1</v>
      </c>
      <c r="E16" s="9">
        <f>C16*D16</f>
        <v>0</v>
      </c>
      <c r="F16" s="7">
        <v>1</v>
      </c>
      <c r="G16" s="15">
        <f>E16*F16</f>
        <v>0</v>
      </c>
    </row>
    <row r="17" spans="1:7" ht="15.75" x14ac:dyDescent="0.25">
      <c r="A17" s="14">
        <v>11</v>
      </c>
      <c r="B17" s="21" t="s">
        <v>31</v>
      </c>
      <c r="C17" s="28"/>
      <c r="D17" s="22"/>
      <c r="E17" s="9"/>
      <c r="F17" s="7"/>
      <c r="G17" s="15"/>
    </row>
    <row r="18" spans="1:7" ht="15.75" x14ac:dyDescent="0.25">
      <c r="A18" s="14">
        <v>11.1</v>
      </c>
      <c r="B18" s="21" t="s">
        <v>19</v>
      </c>
      <c r="C18" s="28"/>
      <c r="D18" s="22">
        <v>1</v>
      </c>
      <c r="E18" s="9">
        <f t="shared" ref="E18:E36" si="0">C18*D18</f>
        <v>0</v>
      </c>
      <c r="F18" s="7">
        <v>0</v>
      </c>
      <c r="G18" s="15">
        <f t="shared" ref="G18:G36" si="1">E18*F18</f>
        <v>0</v>
      </c>
    </row>
    <row r="19" spans="1:7" ht="15.75" x14ac:dyDescent="0.25">
      <c r="A19" s="14">
        <v>11.2</v>
      </c>
      <c r="B19" s="21" t="s">
        <v>20</v>
      </c>
      <c r="C19" s="28"/>
      <c r="D19" s="22">
        <v>1</v>
      </c>
      <c r="E19" s="9">
        <f t="shared" si="0"/>
        <v>0</v>
      </c>
      <c r="F19" s="7">
        <v>0.2</v>
      </c>
      <c r="G19" s="15">
        <f t="shared" si="1"/>
        <v>0</v>
      </c>
    </row>
    <row r="20" spans="1:7" ht="15.75" x14ac:dyDescent="0.25">
      <c r="A20" s="14">
        <v>11.3</v>
      </c>
      <c r="B20" s="21" t="s">
        <v>21</v>
      </c>
      <c r="C20" s="28"/>
      <c r="D20" s="22">
        <v>1</v>
      </c>
      <c r="E20" s="9">
        <f t="shared" si="0"/>
        <v>0</v>
      </c>
      <c r="F20" s="7">
        <v>0.2</v>
      </c>
      <c r="G20" s="15">
        <f t="shared" si="1"/>
        <v>0</v>
      </c>
    </row>
    <row r="21" spans="1:7" ht="15.75" x14ac:dyDescent="0.25">
      <c r="A21" s="14">
        <v>11.4</v>
      </c>
      <c r="B21" s="21" t="s">
        <v>22</v>
      </c>
      <c r="C21" s="28"/>
      <c r="D21" s="22">
        <v>1</v>
      </c>
      <c r="E21" s="9">
        <f t="shared" si="0"/>
        <v>0</v>
      </c>
      <c r="F21" s="7">
        <v>1</v>
      </c>
      <c r="G21" s="15">
        <f t="shared" si="1"/>
        <v>0</v>
      </c>
    </row>
    <row r="22" spans="1:7" ht="15.75" x14ac:dyDescent="0.25">
      <c r="A22" s="14">
        <v>12</v>
      </c>
      <c r="B22" s="21" t="s">
        <v>23</v>
      </c>
      <c r="C22" s="28"/>
      <c r="D22" s="22"/>
      <c r="E22" s="9"/>
      <c r="F22" s="7"/>
      <c r="G22" s="15"/>
    </row>
    <row r="23" spans="1:7" ht="15.75" x14ac:dyDescent="0.25">
      <c r="A23" s="14">
        <v>12.1</v>
      </c>
      <c r="B23" s="21" t="s">
        <v>19</v>
      </c>
      <c r="C23" s="28">
        <v>7065.2738391700004</v>
      </c>
      <c r="D23" s="22">
        <v>0.5</v>
      </c>
      <c r="E23" s="9">
        <f t="shared" si="0"/>
        <v>3532.6369195850002</v>
      </c>
      <c r="F23" s="7">
        <v>0</v>
      </c>
      <c r="G23" s="15">
        <f t="shared" si="1"/>
        <v>0</v>
      </c>
    </row>
    <row r="24" spans="1:7" ht="15.75" x14ac:dyDescent="0.25">
      <c r="A24" s="14">
        <v>12.2</v>
      </c>
      <c r="B24" s="21" t="s">
        <v>20</v>
      </c>
      <c r="C24" s="28"/>
      <c r="D24" s="22">
        <v>0.5</v>
      </c>
      <c r="E24" s="9">
        <f t="shared" si="0"/>
        <v>0</v>
      </c>
      <c r="F24" s="7">
        <v>0.2</v>
      </c>
      <c r="G24" s="15">
        <f t="shared" si="1"/>
        <v>0</v>
      </c>
    </row>
    <row r="25" spans="1:7" ht="15.75" x14ac:dyDescent="0.25">
      <c r="A25" s="14">
        <v>12.3</v>
      </c>
      <c r="B25" s="21" t="s">
        <v>21</v>
      </c>
      <c r="C25" s="28"/>
      <c r="D25" s="22">
        <v>0.5</v>
      </c>
      <c r="E25" s="9">
        <f t="shared" si="0"/>
        <v>0</v>
      </c>
      <c r="F25" s="7">
        <v>0.2</v>
      </c>
      <c r="G25" s="15">
        <f t="shared" si="1"/>
        <v>0</v>
      </c>
    </row>
    <row r="26" spans="1:7" ht="15.75" x14ac:dyDescent="0.25">
      <c r="A26" s="14">
        <v>12.4</v>
      </c>
      <c r="B26" s="21" t="s">
        <v>24</v>
      </c>
      <c r="C26" s="28">
        <v>108526.8295061</v>
      </c>
      <c r="D26" s="22">
        <v>0.5</v>
      </c>
      <c r="E26" s="9">
        <f t="shared" si="0"/>
        <v>54263.414753049998</v>
      </c>
      <c r="F26" s="7">
        <v>1</v>
      </c>
      <c r="G26" s="15">
        <f t="shared" si="1"/>
        <v>54263.414753049998</v>
      </c>
    </row>
    <row r="27" spans="1:7" ht="31.5" x14ac:dyDescent="0.25">
      <c r="A27" s="14">
        <v>13</v>
      </c>
      <c r="B27" s="21" t="s">
        <v>25</v>
      </c>
      <c r="C27" s="28"/>
      <c r="D27" s="22"/>
      <c r="E27" s="9"/>
      <c r="F27" s="7"/>
      <c r="G27" s="15"/>
    </row>
    <row r="28" spans="1:7" ht="15.75" x14ac:dyDescent="0.25">
      <c r="A28" s="14">
        <v>13.1</v>
      </c>
      <c r="B28" s="21" t="s">
        <v>26</v>
      </c>
      <c r="C28" s="28"/>
      <c r="D28" s="22">
        <v>0.5</v>
      </c>
      <c r="E28" s="9">
        <f t="shared" si="0"/>
        <v>0</v>
      </c>
      <c r="F28" s="7">
        <v>0</v>
      </c>
      <c r="G28" s="15">
        <f t="shared" si="1"/>
        <v>0</v>
      </c>
    </row>
    <row r="29" spans="1:7" ht="15.75" x14ac:dyDescent="0.25">
      <c r="A29" s="14">
        <v>13.2</v>
      </c>
      <c r="B29" s="21" t="s">
        <v>20</v>
      </c>
      <c r="C29" s="28"/>
      <c r="D29" s="22">
        <v>0.5</v>
      </c>
      <c r="E29" s="9">
        <f t="shared" si="0"/>
        <v>0</v>
      </c>
      <c r="F29" s="7">
        <v>0.2</v>
      </c>
      <c r="G29" s="15">
        <f t="shared" si="1"/>
        <v>0</v>
      </c>
    </row>
    <row r="30" spans="1:7" ht="15.75" x14ac:dyDescent="0.25">
      <c r="A30" s="14">
        <v>13.3</v>
      </c>
      <c r="B30" s="21" t="s">
        <v>21</v>
      </c>
      <c r="C30" s="28"/>
      <c r="D30" s="22">
        <v>0.5</v>
      </c>
      <c r="E30" s="9">
        <f t="shared" si="0"/>
        <v>0</v>
      </c>
      <c r="F30" s="7">
        <v>0.2</v>
      </c>
      <c r="G30" s="15">
        <f t="shared" si="1"/>
        <v>0</v>
      </c>
    </row>
    <row r="31" spans="1:7" ht="15.75" x14ac:dyDescent="0.25">
      <c r="A31" s="14">
        <v>13.4</v>
      </c>
      <c r="B31" s="21" t="s">
        <v>22</v>
      </c>
      <c r="C31" s="28">
        <v>2976.8396095399999</v>
      </c>
      <c r="D31" s="22">
        <v>0.5</v>
      </c>
      <c r="E31" s="9">
        <f t="shared" si="0"/>
        <v>1488.4198047699999</v>
      </c>
      <c r="F31" s="7">
        <v>1</v>
      </c>
      <c r="G31" s="15">
        <f t="shared" si="1"/>
        <v>1488.4198047699999</v>
      </c>
    </row>
    <row r="32" spans="1:7" ht="15.75" x14ac:dyDescent="0.25">
      <c r="A32" s="14">
        <v>14</v>
      </c>
      <c r="B32" s="21" t="s">
        <v>27</v>
      </c>
      <c r="C32" s="28"/>
      <c r="D32" s="22"/>
      <c r="E32" s="9"/>
      <c r="F32" s="7"/>
      <c r="G32" s="15"/>
    </row>
    <row r="33" spans="1:7" ht="15.75" x14ac:dyDescent="0.25">
      <c r="A33" s="14">
        <v>14.1</v>
      </c>
      <c r="B33" s="21" t="s">
        <v>19</v>
      </c>
      <c r="C33" s="28"/>
      <c r="D33" s="22">
        <v>0.2</v>
      </c>
      <c r="E33" s="9">
        <f t="shared" si="0"/>
        <v>0</v>
      </c>
      <c r="F33" s="7">
        <v>0</v>
      </c>
      <c r="G33" s="15">
        <f t="shared" si="1"/>
        <v>0</v>
      </c>
    </row>
    <row r="34" spans="1:7" ht="15.75" x14ac:dyDescent="0.25">
      <c r="A34" s="14">
        <v>14.2</v>
      </c>
      <c r="B34" s="21" t="s">
        <v>20</v>
      </c>
      <c r="C34" s="28"/>
      <c r="D34" s="22">
        <v>0.2</v>
      </c>
      <c r="E34" s="9">
        <f t="shared" si="0"/>
        <v>0</v>
      </c>
      <c r="F34" s="7">
        <v>0.2</v>
      </c>
      <c r="G34" s="15">
        <f t="shared" si="1"/>
        <v>0</v>
      </c>
    </row>
    <row r="35" spans="1:7" ht="15.75" x14ac:dyDescent="0.25">
      <c r="A35" s="14">
        <v>14.3</v>
      </c>
      <c r="B35" s="21" t="s">
        <v>21</v>
      </c>
      <c r="C35" s="28">
        <v>0</v>
      </c>
      <c r="D35" s="22">
        <v>0.2</v>
      </c>
      <c r="E35" s="9">
        <f t="shared" si="0"/>
        <v>0</v>
      </c>
      <c r="F35" s="7">
        <v>0.2</v>
      </c>
      <c r="G35" s="15">
        <f t="shared" si="1"/>
        <v>0</v>
      </c>
    </row>
    <row r="36" spans="1:7" ht="15.75" x14ac:dyDescent="0.25">
      <c r="A36" s="14">
        <v>14.4</v>
      </c>
      <c r="B36" s="21" t="s">
        <v>22</v>
      </c>
      <c r="C36" s="28">
        <v>153830.89494134998</v>
      </c>
      <c r="D36" s="22">
        <v>0.2</v>
      </c>
      <c r="E36" s="9">
        <f t="shared" si="0"/>
        <v>30766.178988269996</v>
      </c>
      <c r="F36" s="7">
        <v>1</v>
      </c>
      <c r="G36" s="15">
        <f t="shared" si="1"/>
        <v>30766.178988269996</v>
      </c>
    </row>
    <row r="37" spans="1:7" ht="16.5" thickBot="1" x14ac:dyDescent="0.3">
      <c r="A37" s="14">
        <v>15</v>
      </c>
      <c r="B37" s="21" t="s">
        <v>28</v>
      </c>
      <c r="C37" s="29"/>
      <c r="D37" s="22"/>
      <c r="E37" s="8"/>
      <c r="F37" s="7"/>
      <c r="G37" s="16"/>
    </row>
    <row r="38" spans="1:7" ht="16.5" thickBot="1" x14ac:dyDescent="0.3">
      <c r="A38" s="17">
        <v>16</v>
      </c>
      <c r="B38" s="18" t="s">
        <v>29</v>
      </c>
      <c r="C38" s="23"/>
      <c r="D38" s="20"/>
      <c r="E38" s="19"/>
      <c r="F38" s="20"/>
      <c r="G38" s="24">
        <f>SUM(G16:G37)</f>
        <v>86518.013546089991</v>
      </c>
    </row>
    <row r="39" spans="1:7" ht="31.5" customHeight="1" thickTop="1" x14ac:dyDescent="0.25">
      <c r="A39" s="30" t="s">
        <v>32</v>
      </c>
      <c r="B39" s="31"/>
      <c r="C39" s="31"/>
      <c r="D39" s="31"/>
      <c r="E39" s="31"/>
      <c r="F39" s="31"/>
      <c r="G39" s="31"/>
    </row>
  </sheetData>
  <sheetProtection password="CF68" sheet="1" objects="1" scenarios="1"/>
  <mergeCells count="7">
    <mergeCell ref="A39:G39"/>
    <mergeCell ref="A4:E7"/>
    <mergeCell ref="A10:B10"/>
    <mergeCell ref="A11:B11"/>
    <mergeCell ref="F13:G13"/>
    <mergeCell ref="A14:A15"/>
    <mergeCell ref="B14:B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CAP_ADQ_OFB_QO001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Mahlet Teklemariam</cp:lastModifiedBy>
  <dcterms:created xsi:type="dcterms:W3CDTF">2016-09-15T09:29:19Z</dcterms:created>
  <dcterms:modified xsi:type="dcterms:W3CDTF">2026-10-01T18:14:00Z</dcterms:modified>
</cp:coreProperties>
</file>