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esktop\NBE REPORT MONTHLY\NBE EXP. REPORT 2026\NBE REPORT - AUGUST 2026\"/>
    </mc:Choice>
  </mc:AlternateContent>
  <bookViews>
    <workbookView xWindow="0" yWindow="0" windowWidth="20490" windowHeight="58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20" i="1" l="1"/>
  <c r="C25" i="1" s="1"/>
  <c r="C27" i="1" s="1"/>
  <c r="C33" i="1" s="1"/>
  <c r="C35" i="1" s="1"/>
  <c r="C36" i="1" l="1"/>
  <c r="C37" i="1" s="1"/>
</calcChain>
</file>

<file path=xl/sharedStrings.xml><?xml version="1.0" encoding="utf-8"?>
<sst xmlns="http://schemas.openxmlformats.org/spreadsheetml/2006/main" count="38" uniqueCount="38">
  <si>
    <t>Interest Free Banking Service Profit and loss statement</t>
  </si>
  <si>
    <t xml:space="preserve">Instiution Code </t>
  </si>
  <si>
    <t>Financial Year</t>
  </si>
  <si>
    <t>Start Date</t>
  </si>
  <si>
    <t>End Date</t>
  </si>
  <si>
    <t xml:space="preserve">Description </t>
  </si>
  <si>
    <t>Amount</t>
  </si>
  <si>
    <t>Income</t>
  </si>
  <si>
    <t>Income derived from trade financing</t>
  </si>
  <si>
    <t>Income derived from Ijara (leasing)</t>
  </si>
  <si>
    <t>Income derived from Mudarabah investment</t>
  </si>
  <si>
    <t>Income derived from Musharakah investment</t>
  </si>
  <si>
    <t>Charges &amp; commissions (=5.1+5.2)</t>
  </si>
  <si>
    <t>Charges &amp; commissions- local</t>
  </si>
  <si>
    <t>Charges &amp; commissions-foreign</t>
  </si>
  <si>
    <t xml:space="preserve">Gain on foreign Exchange </t>
  </si>
  <si>
    <t>Other income</t>
  </si>
  <si>
    <t>Total distributable income(Sum 1.1-1.7)</t>
  </si>
  <si>
    <t>Income attributable to depositors/investors</t>
  </si>
  <si>
    <t>Total income(=1.8-1.9)</t>
  </si>
  <si>
    <t>Expenses</t>
  </si>
  <si>
    <t>Staff salaries and benefits</t>
  </si>
  <si>
    <t>Sharia Advisory Committee fee (if any)</t>
  </si>
  <si>
    <t>Administrative and General expense</t>
  </si>
  <si>
    <t>Other expense</t>
  </si>
  <si>
    <t>Operating income before tax and provisions[1.10-(sum 2.1-2.4)]</t>
  </si>
  <si>
    <t>Impairment losses on financing, investment, Ijarah financing and others</t>
  </si>
  <si>
    <t>Total net income before tax(2.5-2.6)</t>
  </si>
  <si>
    <t>Business profit tax Payable</t>
  </si>
  <si>
    <t>INT_FRE_SP_BP001</t>
  </si>
  <si>
    <t>1.5.1</t>
  </si>
  <si>
    <t>1.10</t>
  </si>
  <si>
    <t>1.5.2</t>
  </si>
  <si>
    <t>S.No.</t>
  </si>
  <si>
    <t>Net income after tax &amp; provisions (2.7-2.8)</t>
  </si>
  <si>
    <t>Amount in Millions of Birr</t>
  </si>
  <si>
    <t>2026</t>
  </si>
  <si>
    <t>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</si>
</sst>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52]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rgb="FFFF0000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49" fontId="1" fillId="2" borderId="2" xfId="0" applyNumberFormat="1" applyFont="1" applyFill="1" applyBorder="1" applyAlignment="1" applyProtection="1">
      <alignment horizontal="right"/>
      <protection locked="0"/>
    </xf>
    <xf numFmtId="49" fontId="1" fillId="2" borderId="1" xfId="0" applyNumberFormat="1" applyFont="1" applyFill="1" applyBorder="1" applyAlignment="1" applyProtection="1">
      <alignment horizontal="right"/>
      <protection locked="0"/>
    </xf>
    <xf numFmtId="164" fontId="1" fillId="2" borderId="1" xfId="0" applyNumberFormat="1" applyFont="1" applyFill="1" applyBorder="1" applyAlignment="1" applyProtection="1">
      <alignment horizontal="right"/>
      <protection locked="0"/>
    </xf>
    <xf numFmtId="0" fontId="2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/>
    </xf>
    <xf numFmtId="0" fontId="2" fillId="3" borderId="11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13" xfId="0" applyFont="1" applyFill="1" applyBorder="1" applyAlignment="1">
      <alignment horizontal="center" vertical="top" wrapText="1"/>
    </xf>
    <xf numFmtId="39" fontId="2" fillId="0" borderId="15" xfId="0" applyNumberFormat="1" applyFont="1" applyBorder="1" applyAlignment="1">
      <alignment horizontal="right" vertical="top" wrapText="1"/>
    </xf>
    <xf numFmtId="0" fontId="2" fillId="0" borderId="0" xfId="0" applyFont="1"/>
    <xf numFmtId="39" fontId="1" fillId="0" borderId="15" xfId="0" applyNumberFormat="1" applyFont="1" applyBorder="1" applyAlignment="1">
      <alignment horizontal="right" vertical="top" wrapText="1"/>
    </xf>
    <xf numFmtId="49" fontId="2" fillId="0" borderId="14" xfId="0" applyNumberFormat="1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4" xfId="0" applyFont="1" applyFill="1" applyBorder="1" applyAlignment="1">
      <alignment horizontal="center" vertical="top" wrapText="1"/>
    </xf>
    <xf numFmtId="0" fontId="1" fillId="4" borderId="14" xfId="0" applyFont="1" applyFill="1" applyBorder="1" applyAlignment="1">
      <alignment horizontal="center" vertical="top" wrapText="1"/>
    </xf>
    <xf numFmtId="0" fontId="2" fillId="4" borderId="17" xfId="0" applyFont="1" applyFill="1" applyBorder="1" applyAlignment="1">
      <alignment horizontal="center" vertical="top" wrapText="1"/>
    </xf>
    <xf numFmtId="0" fontId="2" fillId="4" borderId="18" xfId="0" applyFont="1" applyFill="1" applyBorder="1" applyAlignment="1">
      <alignment vertical="top" wrapText="1"/>
    </xf>
    <xf numFmtId="39" fontId="2" fillId="4" borderId="19" xfId="0" applyNumberFormat="1" applyFont="1" applyFill="1" applyBorder="1" applyAlignment="1">
      <alignment horizontal="right" vertical="top" wrapText="1"/>
    </xf>
    <xf numFmtId="39" fontId="1" fillId="4" borderId="15" xfId="0" applyNumberFormat="1" applyFont="1" applyFill="1" applyBorder="1" applyAlignment="1">
      <alignment horizontal="right" vertical="top" wrapText="1"/>
    </xf>
    <xf numFmtId="0" fontId="1" fillId="4" borderId="15" xfId="0" applyFont="1" applyFill="1" applyBorder="1" applyAlignment="1">
      <alignment horizontal="right" vertical="top" wrapText="1"/>
    </xf>
    <xf numFmtId="39" fontId="1" fillId="0" borderId="15" xfId="0" applyNumberFormat="1" applyFont="1" applyBorder="1" applyAlignment="1" applyProtection="1">
      <alignment horizontal="right" vertical="top" wrapText="1"/>
      <protection locked="0"/>
    </xf>
    <xf numFmtId="0" fontId="4" fillId="6" borderId="1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topLeftCell="B10" workbookViewId="0">
      <selection activeCell="C16" sqref="C16"/>
    </sheetView>
  </sheetViews>
  <sheetFormatPr defaultRowHeight="15.75" x14ac:dyDescent="0.25"/>
  <cols>
    <col min="1" max="1" width="9.140625" style="1"/>
    <col min="2" max="2" width="65.28515625" style="1" customWidth="1"/>
    <col min="3" max="3" width="26" style="1" customWidth="1"/>
    <col min="4" max="16384" width="9.140625" style="1"/>
  </cols>
  <sheetData>
    <row r="1" spans="1:3" x14ac:dyDescent="0.25">
      <c r="A1" s="1" t="s">
        <v>29</v>
      </c>
    </row>
    <row r="3" spans="1:3" ht="16.5" thickBot="1" x14ac:dyDescent="0.3"/>
    <row r="4" spans="1:3" ht="16.5" thickTop="1" x14ac:dyDescent="0.25">
      <c r="A4" s="29" t="s">
        <v>0</v>
      </c>
      <c r="B4" s="30"/>
      <c r="C4" s="31"/>
    </row>
    <row r="5" spans="1:3" x14ac:dyDescent="0.25">
      <c r="A5" s="32"/>
      <c r="B5" s="33"/>
      <c r="C5" s="34"/>
    </row>
    <row r="6" spans="1:3" x14ac:dyDescent="0.25">
      <c r="A6" s="32"/>
      <c r="B6" s="33"/>
      <c r="C6" s="34"/>
    </row>
    <row r="7" spans="1:3" ht="16.5" thickBot="1" x14ac:dyDescent="0.3">
      <c r="A7" s="35"/>
      <c r="B7" s="36"/>
      <c r="C7" s="37"/>
    </row>
    <row r="8" spans="1:3" ht="16.5" thickTop="1" x14ac:dyDescent="0.25">
      <c r="A8" s="27" t="s">
        <v>1</v>
      </c>
      <c r="B8" s="27"/>
      <c r="C8" s="4" t="s">
        <v>37</v>
      </c>
    </row>
    <row r="9" spans="1:3" x14ac:dyDescent="0.25">
      <c r="A9" s="28" t="s">
        <v>2</v>
      </c>
      <c r="B9" s="28"/>
      <c r="C9" s="5" t="s">
        <v>36</v>
      </c>
    </row>
    <row r="10" spans="1:3" x14ac:dyDescent="0.25">
      <c r="A10" s="28" t="s">
        <v>3</v>
      </c>
      <c r="B10" s="28"/>
      <c r="C10" s="6">
        <v>46204</v>
      </c>
    </row>
    <row r="11" spans="1:3" x14ac:dyDescent="0.25">
      <c r="A11" s="28" t="s">
        <v>4</v>
      </c>
      <c r="B11" s="28"/>
      <c r="C11" s="6">
        <v>46265</v>
      </c>
    </row>
    <row r="13" spans="1:3" ht="16.5" thickBot="1" x14ac:dyDescent="0.3">
      <c r="C13" s="26" t="s">
        <v>35</v>
      </c>
    </row>
    <row r="14" spans="1:3" ht="16.5" thickTop="1" x14ac:dyDescent="0.25">
      <c r="A14" s="10" t="s">
        <v>33</v>
      </c>
      <c r="B14" s="11" t="s">
        <v>5</v>
      </c>
      <c r="C14" s="12" t="s">
        <v>6</v>
      </c>
    </row>
    <row r="15" spans="1:3" x14ac:dyDescent="0.25">
      <c r="A15" s="18">
        <v>1</v>
      </c>
      <c r="B15" s="17" t="s">
        <v>7</v>
      </c>
      <c r="C15" s="24"/>
    </row>
    <row r="16" spans="1:3" x14ac:dyDescent="0.25">
      <c r="A16" s="8">
        <v>1.1000000000000001</v>
      </c>
      <c r="B16" s="3" t="s">
        <v>8</v>
      </c>
      <c r="C16" s="25">
        <v>1492.43338191</v>
      </c>
    </row>
    <row r="17" spans="1:3" x14ac:dyDescent="0.25">
      <c r="A17" s="8">
        <v>1.2</v>
      </c>
      <c r="B17" s="3" t="s">
        <v>9</v>
      </c>
      <c r="C17" s="25"/>
    </row>
    <row r="18" spans="1:3" x14ac:dyDescent="0.25">
      <c r="A18" s="8">
        <v>1.3</v>
      </c>
      <c r="B18" s="3" t="s">
        <v>10</v>
      </c>
      <c r="C18" s="25"/>
    </row>
    <row r="19" spans="1:3" x14ac:dyDescent="0.25">
      <c r="A19" s="8">
        <v>1.4</v>
      </c>
      <c r="B19" s="3" t="s">
        <v>11</v>
      </c>
      <c r="C19" s="25"/>
    </row>
    <row r="20" spans="1:3" x14ac:dyDescent="0.25">
      <c r="A20" s="8">
        <v>1.5</v>
      </c>
      <c r="B20" s="3" t="s">
        <v>12</v>
      </c>
      <c r="C20" s="15">
        <f>SUM(C21:C22)</f>
        <v>307.24975823999995</v>
      </c>
    </row>
    <row r="21" spans="1:3" x14ac:dyDescent="0.25">
      <c r="A21" s="8" t="s">
        <v>30</v>
      </c>
      <c r="B21" s="3" t="s">
        <v>13</v>
      </c>
      <c r="C21" s="25">
        <v>307.24975823999995</v>
      </c>
    </row>
    <row r="22" spans="1:3" x14ac:dyDescent="0.25">
      <c r="A22" s="9" t="s">
        <v>32</v>
      </c>
      <c r="B22" s="3" t="s">
        <v>14</v>
      </c>
      <c r="C22" s="25"/>
    </row>
    <row r="23" spans="1:3" x14ac:dyDescent="0.25">
      <c r="A23" s="8">
        <v>1.6</v>
      </c>
      <c r="B23" s="3" t="s">
        <v>15</v>
      </c>
      <c r="C23" s="25">
        <v>-16.430991310000007</v>
      </c>
    </row>
    <row r="24" spans="1:3" x14ac:dyDescent="0.25">
      <c r="A24" s="8">
        <v>1.7</v>
      </c>
      <c r="B24" s="3" t="s">
        <v>16</v>
      </c>
      <c r="C24" s="25">
        <v>7.4889919100000002</v>
      </c>
    </row>
    <row r="25" spans="1:3" s="14" customFormat="1" x14ac:dyDescent="0.25">
      <c r="A25" s="7">
        <v>1.8</v>
      </c>
      <c r="B25" s="2" t="s">
        <v>17</v>
      </c>
      <c r="C25" s="13">
        <f>C16+C17+C18+C19+C20+C23+C24</f>
        <v>1790.7411407499999</v>
      </c>
    </row>
    <row r="26" spans="1:3" x14ac:dyDescent="0.25">
      <c r="A26" s="8">
        <v>1.9</v>
      </c>
      <c r="B26" s="3" t="s">
        <v>18</v>
      </c>
      <c r="C26" s="25"/>
    </row>
    <row r="27" spans="1:3" s="14" customFormat="1" x14ac:dyDescent="0.25">
      <c r="A27" s="16" t="s">
        <v>31</v>
      </c>
      <c r="B27" s="2" t="s">
        <v>19</v>
      </c>
      <c r="C27" s="13">
        <f>C25-C26</f>
        <v>1790.7411407499999</v>
      </c>
    </row>
    <row r="28" spans="1:3" x14ac:dyDescent="0.25">
      <c r="A28" s="19">
        <v>2</v>
      </c>
      <c r="B28" s="17" t="s">
        <v>20</v>
      </c>
      <c r="C28" s="23"/>
    </row>
    <row r="29" spans="1:3" x14ac:dyDescent="0.25">
      <c r="A29" s="8">
        <v>2.1</v>
      </c>
      <c r="B29" s="3" t="s">
        <v>21</v>
      </c>
      <c r="C29" s="25">
        <v>316.41817400000002</v>
      </c>
    </row>
    <row r="30" spans="1:3" x14ac:dyDescent="0.25">
      <c r="A30" s="8">
        <v>2.2000000000000002</v>
      </c>
      <c r="B30" s="3" t="s">
        <v>22</v>
      </c>
      <c r="C30" s="25">
        <v>0.49513600000000002</v>
      </c>
    </row>
    <row r="31" spans="1:3" x14ac:dyDescent="0.25">
      <c r="A31" s="8">
        <v>2.2999999999999998</v>
      </c>
      <c r="B31" s="3" t="s">
        <v>23</v>
      </c>
      <c r="C31" s="25">
        <v>211.42523119000001</v>
      </c>
    </row>
    <row r="32" spans="1:3" x14ac:dyDescent="0.25">
      <c r="A32" s="8">
        <v>2.4</v>
      </c>
      <c r="B32" s="3" t="s">
        <v>24</v>
      </c>
      <c r="C32" s="25"/>
    </row>
    <row r="33" spans="1:3" s="14" customFormat="1" x14ac:dyDescent="0.25">
      <c r="A33" s="7">
        <v>2.5</v>
      </c>
      <c r="B33" s="2" t="s">
        <v>25</v>
      </c>
      <c r="C33" s="13">
        <f>C27-(C29+C30+C31+C32)</f>
        <v>1262.40259956</v>
      </c>
    </row>
    <row r="34" spans="1:3" x14ac:dyDescent="0.25">
      <c r="A34" s="8">
        <v>2.6</v>
      </c>
      <c r="B34" s="3" t="s">
        <v>26</v>
      </c>
      <c r="C34" s="25"/>
    </row>
    <row r="35" spans="1:3" x14ac:dyDescent="0.25">
      <c r="A35" s="8">
        <v>2.7</v>
      </c>
      <c r="B35" s="3" t="s">
        <v>27</v>
      </c>
      <c r="C35" s="15">
        <f>C33-C34</f>
        <v>1262.40259956</v>
      </c>
    </row>
    <row r="36" spans="1:3" x14ac:dyDescent="0.25">
      <c r="A36" s="8">
        <v>2.8</v>
      </c>
      <c r="B36" s="3" t="s">
        <v>28</v>
      </c>
      <c r="C36" s="15">
        <f>IF(C35&lt;0,"0",C35*0.3)</f>
        <v>378.72077986799997</v>
      </c>
    </row>
    <row r="37" spans="1:3" s="14" customFormat="1" ht="16.5" thickBot="1" x14ac:dyDescent="0.3">
      <c r="A37" s="20">
        <v>3</v>
      </c>
      <c r="B37" s="21" t="s">
        <v>34</v>
      </c>
      <c r="C37" s="22">
        <f>C35-C36</f>
        <v>883.68181969200009</v>
      </c>
    </row>
    <row r="38" spans="1:3" ht="16.5" thickTop="1" x14ac:dyDescent="0.25"/>
  </sheetData>
  <sheetProtection password="CF68" sheet="1" objects="1" scenarios="1"/>
  <mergeCells count="5">
    <mergeCell ref="A8:B8"/>
    <mergeCell ref="A9:B9"/>
    <mergeCell ref="A10:B10"/>
    <mergeCell ref="A11:B11"/>
    <mergeCell ref="A4:C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Dagnachew Tsegaye Demissie</cp:lastModifiedBy>
  <dcterms:created xsi:type="dcterms:W3CDTF">2016-06-17T18:49:35Z</dcterms:created>
  <dcterms:modified xsi:type="dcterms:W3CDTF">2026-09-02T07:29:56Z</dcterms:modified>
</cp:coreProperties>
</file>