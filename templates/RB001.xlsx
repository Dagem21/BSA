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AbebeTeklu\Desktop\Monthly\Treasury\"/>
    </mc:Choice>
  </mc:AlternateContent>
  <bookViews>
    <workbookView xWindow="720" yWindow="405" windowWidth="20730" windowHeight="11550"/>
  </bookViews>
  <sheets>
    <sheet name="Sheet1" sheetId="1" r:id="rId1"/>
  </sheets>
  <calcPr calcId="162913"/>
</workbook>
</file>

<file path=xl/calcChain.xml><?xml version="1.0" encoding="utf-8"?>
<calcChain xmlns="http://schemas.openxmlformats.org/spreadsheetml/2006/main">
  <c r="D24" i="1" l="1"/>
  <c r="E24" i="1"/>
  <c r="F24" i="1"/>
  <c r="G24" i="1"/>
  <c r="H24" i="1"/>
  <c r="I24" i="1"/>
  <c r="J24" i="1"/>
  <c r="K24" i="1"/>
  <c r="L24" i="1"/>
  <c r="M24" i="1"/>
  <c r="N24" i="1"/>
  <c r="O24" i="1"/>
  <c r="P24" i="1"/>
  <c r="Q24" i="1"/>
  <c r="R24" i="1"/>
  <c r="S24" i="1"/>
  <c r="T24" i="1"/>
  <c r="U24" i="1"/>
  <c r="V24" i="1"/>
  <c r="W24" i="1"/>
  <c r="X24" i="1"/>
  <c r="Y24" i="1"/>
  <c r="Z24" i="1"/>
  <c r="AA24" i="1"/>
  <c r="AB24" i="1"/>
  <c r="AC24" i="1"/>
  <c r="AD24" i="1"/>
  <c r="AE24" i="1"/>
  <c r="AF24" i="1"/>
  <c r="AG24" i="1"/>
  <c r="C24" i="1"/>
  <c r="AH24" i="1" s="1"/>
  <c r="AH22" i="1"/>
  <c r="F21" i="1"/>
  <c r="F26" i="1" s="1"/>
  <c r="G21" i="1"/>
  <c r="G26" i="1" s="1"/>
  <c r="H21" i="1"/>
  <c r="H26" i="1"/>
  <c r="I21" i="1"/>
  <c r="I26" i="1"/>
  <c r="R21" i="1"/>
  <c r="R26" i="1"/>
  <c r="S21" i="1"/>
  <c r="S26" i="1" s="1"/>
  <c r="T21" i="1"/>
  <c r="T26" i="1" s="1"/>
  <c r="U21" i="1"/>
  <c r="U26" i="1" s="1"/>
  <c r="V21" i="1"/>
  <c r="V26" i="1" s="1"/>
  <c r="W21" i="1"/>
  <c r="W26" i="1" s="1"/>
  <c r="X21" i="1"/>
  <c r="X26" i="1" s="1"/>
  <c r="Y21" i="1"/>
  <c r="Y26" i="1" s="1"/>
  <c r="Z21" i="1"/>
  <c r="Z26" i="1" s="1"/>
  <c r="AA21" i="1"/>
  <c r="AA26" i="1" s="1"/>
  <c r="AB21" i="1"/>
  <c r="AB26" i="1" s="1"/>
  <c r="AC21" i="1"/>
  <c r="AC26" i="1" s="1"/>
  <c r="AH20" i="1"/>
  <c r="AH19" i="1"/>
  <c r="D18" i="1"/>
  <c r="AH18" i="1" s="1"/>
  <c r="E18" i="1"/>
  <c r="F18" i="1"/>
  <c r="G18" i="1"/>
  <c r="H18" i="1"/>
  <c r="I18" i="1"/>
  <c r="J18" i="1"/>
  <c r="K18" i="1"/>
  <c r="L18" i="1"/>
  <c r="M18" i="1"/>
  <c r="N18" i="1"/>
  <c r="O18" i="1"/>
  <c r="P18" i="1"/>
  <c r="P21" i="1" s="1"/>
  <c r="P26" i="1" s="1"/>
  <c r="Q18" i="1"/>
  <c r="R18" i="1"/>
  <c r="S18" i="1"/>
  <c r="T18" i="1"/>
  <c r="U18" i="1"/>
  <c r="V18" i="1"/>
  <c r="W18" i="1"/>
  <c r="X18" i="1"/>
  <c r="Y18" i="1"/>
  <c r="Z18" i="1"/>
  <c r="AA18" i="1"/>
  <c r="AB18" i="1"/>
  <c r="AC18" i="1"/>
  <c r="AD18" i="1"/>
  <c r="AE18" i="1"/>
  <c r="AF18" i="1"/>
  <c r="AF21" i="1" s="1"/>
  <c r="AF26" i="1" s="1"/>
  <c r="AG18" i="1"/>
  <c r="AG21" i="1" s="1"/>
  <c r="AG26" i="1" s="1"/>
  <c r="C18" i="1"/>
  <c r="AH17" i="1"/>
  <c r="AH16" i="1"/>
  <c r="AH15" i="1"/>
  <c r="D14" i="1"/>
  <c r="E14" i="1"/>
  <c r="F14" i="1"/>
  <c r="G14" i="1"/>
  <c r="H14" i="1"/>
  <c r="I14" i="1"/>
  <c r="J14" i="1"/>
  <c r="J21" i="1" s="1"/>
  <c r="J26" i="1" s="1"/>
  <c r="K14" i="1"/>
  <c r="K21" i="1" s="1"/>
  <c r="K26" i="1" s="1"/>
  <c r="L14" i="1"/>
  <c r="L21" i="1" s="1"/>
  <c r="L26" i="1" s="1"/>
  <c r="M14" i="1"/>
  <c r="M21" i="1" s="1"/>
  <c r="M26" i="1" s="1"/>
  <c r="N14" i="1"/>
  <c r="N21" i="1" s="1"/>
  <c r="N26" i="1" s="1"/>
  <c r="O14" i="1"/>
  <c r="O21" i="1" s="1"/>
  <c r="O26" i="1" s="1"/>
  <c r="P14" i="1"/>
  <c r="Q14" i="1"/>
  <c r="Q21" i="1" s="1"/>
  <c r="Q26" i="1" s="1"/>
  <c r="R14" i="1"/>
  <c r="S14" i="1"/>
  <c r="T14" i="1"/>
  <c r="U14" i="1"/>
  <c r="V14" i="1"/>
  <c r="W14" i="1"/>
  <c r="X14" i="1"/>
  <c r="Y14" i="1"/>
  <c r="Z14" i="1"/>
  <c r="AA14" i="1"/>
  <c r="AB14" i="1"/>
  <c r="AC14" i="1"/>
  <c r="AD14" i="1"/>
  <c r="AD21" i="1" s="1"/>
  <c r="AD26" i="1" s="1"/>
  <c r="AE14" i="1"/>
  <c r="AE21" i="1" s="1"/>
  <c r="AE26" i="1" s="1"/>
  <c r="AF14" i="1"/>
  <c r="AG14" i="1"/>
  <c r="C14" i="1"/>
  <c r="C21" i="1"/>
  <c r="C26" i="1"/>
  <c r="AG25" i="1"/>
  <c r="AF25" i="1"/>
  <c r="AE25" i="1"/>
  <c r="AD25" i="1"/>
  <c r="AC25" i="1"/>
  <c r="AB25" i="1"/>
  <c r="AA25" i="1"/>
  <c r="Z25" i="1"/>
  <c r="Y25" i="1"/>
  <c r="X25" i="1"/>
  <c r="W25" i="1"/>
  <c r="V25" i="1"/>
  <c r="U25" i="1"/>
  <c r="T25" i="1"/>
  <c r="S25" i="1"/>
  <c r="R25" i="1"/>
  <c r="Q25" i="1"/>
  <c r="P25" i="1"/>
  <c r="O25" i="1"/>
  <c r="N25" i="1"/>
  <c r="M25" i="1"/>
  <c r="L25" i="1"/>
  <c r="K25" i="1"/>
  <c r="J25" i="1"/>
  <c r="I25" i="1"/>
  <c r="H25" i="1"/>
  <c r="G25" i="1"/>
  <c r="F25" i="1"/>
  <c r="E25" i="1"/>
  <c r="D25" i="1"/>
  <c r="C25" i="1"/>
  <c r="AH25" i="1" s="1"/>
  <c r="AH23" i="1"/>
  <c r="E21" i="1"/>
  <c r="E26" i="1"/>
  <c r="AH14" i="1" l="1"/>
  <c r="D21" i="1"/>
  <c r="D26" i="1" l="1"/>
  <c r="AH21" i="1"/>
  <c r="AH26" i="1" s="1"/>
</calcChain>
</file>

<file path=xl/sharedStrings.xml><?xml version="1.0" encoding="utf-8"?>
<sst xmlns="http://schemas.openxmlformats.org/spreadsheetml/2006/main" count="57" uniqueCount="57">
  <si>
    <t xml:space="preserve">ANNEX 1 </t>
  </si>
  <si>
    <t>Monthly Reserve Base Report</t>
  </si>
  <si>
    <t xml:space="preserve">Institution Code </t>
  </si>
  <si>
    <t>Financial Year</t>
  </si>
  <si>
    <t>Start Date</t>
  </si>
  <si>
    <t>End Date</t>
  </si>
  <si>
    <t>(Amount in Millions of Birr)</t>
  </si>
  <si>
    <t>Code</t>
  </si>
  <si>
    <t>Day 1</t>
  </si>
  <si>
    <t>Day 2</t>
  </si>
  <si>
    <t>Day 3</t>
  </si>
  <si>
    <t>Day 4</t>
  </si>
  <si>
    <t>Day 5</t>
  </si>
  <si>
    <t>Day 6</t>
  </si>
  <si>
    <t>Day 7</t>
  </si>
  <si>
    <t>Day 8</t>
  </si>
  <si>
    <t>Day 9</t>
  </si>
  <si>
    <t>Day 10</t>
  </si>
  <si>
    <t>Day 11</t>
  </si>
  <si>
    <t>Day 12</t>
  </si>
  <si>
    <t>Day 13</t>
  </si>
  <si>
    <t>Day 14</t>
  </si>
  <si>
    <t>Day 15</t>
  </si>
  <si>
    <t>Day 16</t>
  </si>
  <si>
    <t>Day 17</t>
  </si>
  <si>
    <t>Day 18</t>
  </si>
  <si>
    <t>Day 19</t>
  </si>
  <si>
    <t>Day 20</t>
  </si>
  <si>
    <t>Day 21</t>
  </si>
  <si>
    <t>Day 22</t>
  </si>
  <si>
    <t>Day 23</t>
  </si>
  <si>
    <t>Day 24</t>
  </si>
  <si>
    <t>Day 25</t>
  </si>
  <si>
    <t>Day 26</t>
  </si>
  <si>
    <t>Day 27</t>
  </si>
  <si>
    <t>Day 28</t>
  </si>
  <si>
    <t>Day 29</t>
  </si>
  <si>
    <t>Day 30</t>
  </si>
  <si>
    <t>Day 31</t>
  </si>
  <si>
    <t>Monthly Average</t>
  </si>
  <si>
    <t>Reserve Base (1.1+1.2+1.3)</t>
  </si>
  <si>
    <t xml:space="preserve">Demand/Current Deposits </t>
  </si>
  <si>
    <t>Saving Deposits</t>
  </si>
  <si>
    <t>Time Deposits</t>
  </si>
  <si>
    <t>Deductions Items (2.1+2.2)</t>
  </si>
  <si>
    <t>Un-cleared checks paid-local</t>
  </si>
  <si>
    <t>Un-cleared effects- foreign</t>
  </si>
  <si>
    <t>Net Reserve Base  (1 minus 2)</t>
  </si>
  <si>
    <t>Payment and Settlement Account Balance with NBE</t>
  </si>
  <si>
    <t>Currency Issue Account Balance</t>
  </si>
  <si>
    <t>Deposit Balance with NBE (4+5)</t>
  </si>
  <si>
    <t>Excess/Deficiency (5 minus 4)</t>
  </si>
  <si>
    <t>Reserve Ratio (5/3*100)</t>
  </si>
  <si>
    <t>Note: - Consider only each day’s position</t>
  </si>
  <si>
    <t xml:space="preserve">Note: - Day 1 refer first day of the calendar month </t>
  </si>
  <si>
    <t>Descriptions</t>
  </si>
  <si>
    <t>Reserve BaseRB001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</si>
</sst>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43" formatCode="_-* #,##0.00_-;\-* #,##0.00_-;_-* &quot;-&quot;??_-;_-@_-"/>
    <numFmt numFmtId="164" formatCode="yyyy/mm/dd;@"/>
  </numFmts>
  <fonts count="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color rgb="FF000000"/>
      <name val="Times New Roman"/>
      <family val="1"/>
    </font>
    <font>
      <sz val="12"/>
      <color theme="1"/>
      <name val="Times New Roman"/>
      <family val="1"/>
    </font>
    <font>
      <sz val="11"/>
      <color theme="1"/>
      <name val="Times New Roman"/>
      <family val="1"/>
    </font>
    <font>
      <b/>
      <sz val="12"/>
      <color theme="1"/>
      <name val="Times New Roman"/>
      <family val="1"/>
    </font>
    <font>
      <b/>
      <sz val="18"/>
      <color rgb="FFFF0000"/>
      <name val="Times New Roman"/>
      <family val="1"/>
    </font>
  </fonts>
  <fills count="5">
    <fill>
      <patternFill patternType="none"/>
    </fill>
    <fill>
      <patternFill patternType="gray125"/>
    </fill>
    <fill>
      <patternFill patternType="solid">
        <fgColor theme="6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</fills>
  <borders count="21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/>
      <bottom style="thick">
        <color rgb="FF7030A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ck">
        <color rgb="FF7030A0"/>
      </left>
      <right/>
      <top style="thick">
        <color rgb="FF7030A0"/>
      </top>
      <bottom/>
      <diagonal/>
    </border>
    <border>
      <left/>
      <right/>
      <top style="thick">
        <color rgb="FF7030A0"/>
      </top>
      <bottom/>
      <diagonal/>
    </border>
    <border>
      <left style="thick">
        <color rgb="FF7030A0"/>
      </left>
      <right/>
      <top/>
      <bottom/>
      <diagonal/>
    </border>
    <border>
      <left style="thick">
        <color rgb="FF7030A0"/>
      </left>
      <right/>
      <top/>
      <bottom style="thick">
        <color rgb="FF7030A0"/>
      </bottom>
      <diagonal/>
    </border>
    <border>
      <left/>
      <right style="thick">
        <color rgb="FF7030A0"/>
      </right>
      <top style="thick">
        <color rgb="FF7030A0"/>
      </top>
      <bottom/>
      <diagonal/>
    </border>
    <border>
      <left/>
      <right style="thick">
        <color rgb="FF7030A0"/>
      </right>
      <top/>
      <bottom/>
      <diagonal/>
    </border>
    <border>
      <left/>
      <right style="thick">
        <color rgb="FF7030A0"/>
      </right>
      <top/>
      <bottom style="thick">
        <color rgb="FF7030A0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40">
    <xf numFmtId="0" fontId="0" fillId="0" borderId="0" xfId="0"/>
    <xf numFmtId="0" fontId="2" fillId="0" borderId="0" xfId="0" applyFont="1" applyBorder="1" applyAlignment="1">
      <alignment horizontal="left" vertical="center"/>
    </xf>
    <xf numFmtId="0" fontId="2" fillId="0" borderId="4" xfId="0" applyFont="1" applyBorder="1" applyAlignment="1">
      <alignment horizontal="left" vertical="center"/>
    </xf>
    <xf numFmtId="0" fontId="3" fillId="0" borderId="0" xfId="0" applyFont="1"/>
    <xf numFmtId="49" fontId="3" fillId="2" borderId="1" xfId="0" applyNumberFormat="1" applyFont="1" applyFill="1" applyBorder="1" applyProtection="1">
      <protection locked="0"/>
    </xf>
    <xf numFmtId="39" fontId="3" fillId="0" borderId="0" xfId="0" applyNumberFormat="1" applyFont="1"/>
    <xf numFmtId="49" fontId="3" fillId="2" borderId="2" xfId="0" applyNumberFormat="1" applyFont="1" applyFill="1" applyBorder="1" applyProtection="1">
      <protection locked="0"/>
    </xf>
    <xf numFmtId="14" fontId="3" fillId="2" borderId="2" xfId="0" applyNumberFormat="1" applyFont="1" applyFill="1" applyBorder="1" applyProtection="1">
      <protection locked="0"/>
    </xf>
    <xf numFmtId="0" fontId="4" fillId="0" borderId="0" xfId="0" applyFont="1" applyAlignment="1">
      <alignment horizontal="center"/>
    </xf>
    <xf numFmtId="0" fontId="5" fillId="3" borderId="3" xfId="0" applyFont="1" applyFill="1" applyBorder="1"/>
    <xf numFmtId="0" fontId="5" fillId="3" borderId="3" xfId="0" applyFont="1" applyFill="1" applyBorder="1" applyAlignment="1">
      <alignment horizontal="center"/>
    </xf>
    <xf numFmtId="0" fontId="5" fillId="0" borderId="5" xfId="0" applyFont="1" applyBorder="1" applyAlignment="1">
      <alignment horizontal="justify" vertical="top" wrapText="1"/>
    </xf>
    <xf numFmtId="0" fontId="5" fillId="0" borderId="6" xfId="0" applyFont="1" applyBorder="1" applyAlignment="1">
      <alignment horizontal="justify" vertical="top" wrapText="1"/>
    </xf>
    <xf numFmtId="164" fontId="5" fillId="0" borderId="6" xfId="0" applyNumberFormat="1" applyFont="1" applyBorder="1" applyAlignment="1">
      <alignment horizontal="right" vertical="top" wrapText="1"/>
    </xf>
    <xf numFmtId="0" fontId="5" fillId="0" borderId="7" xfId="0" applyFont="1" applyBorder="1" applyAlignment="1">
      <alignment horizontal="left" vertical="top" wrapText="1"/>
    </xf>
    <xf numFmtId="0" fontId="3" fillId="0" borderId="8" xfId="0" applyFont="1" applyBorder="1" applyAlignment="1">
      <alignment horizontal="justify" vertical="top" wrapText="1"/>
    </xf>
    <xf numFmtId="0" fontId="3" fillId="0" borderId="9" xfId="0" applyFont="1" applyBorder="1" applyAlignment="1">
      <alignment vertical="top" wrapText="1"/>
    </xf>
    <xf numFmtId="43" fontId="5" fillId="0" borderId="9" xfId="1" applyFont="1" applyBorder="1" applyAlignment="1">
      <alignment vertical="top" wrapText="1"/>
    </xf>
    <xf numFmtId="43" fontId="5" fillId="0" borderId="10" xfId="1" applyNumberFormat="1" applyFont="1" applyBorder="1" applyAlignment="1">
      <alignment horizontal="justify" vertical="top" wrapText="1"/>
    </xf>
    <xf numFmtId="43" fontId="3" fillId="0" borderId="9" xfId="1" applyFont="1" applyBorder="1" applyAlignment="1" applyProtection="1">
      <alignment horizontal="justify" vertical="top" wrapText="1"/>
      <protection locked="0"/>
    </xf>
    <xf numFmtId="0" fontId="5" fillId="0" borderId="11" xfId="0" applyFont="1" applyBorder="1" applyAlignment="1">
      <alignment horizontal="justify" vertical="top" wrapText="1"/>
    </xf>
    <xf numFmtId="0" fontId="5" fillId="0" borderId="12" xfId="0" applyFont="1" applyBorder="1" applyAlignment="1">
      <alignment horizontal="justify" vertical="top" wrapText="1"/>
    </xf>
    <xf numFmtId="10" fontId="5" fillId="0" borderId="12" xfId="0" applyNumberFormat="1" applyFont="1" applyBorder="1" applyAlignment="1">
      <alignment vertical="top" wrapText="1"/>
    </xf>
    <xf numFmtId="10" fontId="5" fillId="0" borderId="13" xfId="0" applyNumberFormat="1" applyFont="1" applyBorder="1" applyAlignment="1">
      <alignment vertical="top" wrapText="1"/>
    </xf>
    <xf numFmtId="0" fontId="0" fillId="0" borderId="0" xfId="0" applyBorder="1"/>
    <xf numFmtId="0" fontId="3" fillId="0" borderId="0" xfId="0" applyFont="1" applyAlignment="1">
      <alignment horizontal="justify"/>
    </xf>
    <xf numFmtId="0" fontId="3" fillId="0" borderId="8" xfId="0" applyFont="1" applyBorder="1" applyAlignment="1">
      <alignment horizontal="center" wrapText="1"/>
    </xf>
    <xf numFmtId="0" fontId="0" fillId="0" borderId="0" xfId="0" applyFont="1"/>
    <xf numFmtId="0" fontId="5" fillId="2" borderId="2" xfId="0" applyFont="1" applyFill="1" applyBorder="1" applyAlignment="1">
      <alignment horizontal="left"/>
    </xf>
    <xf numFmtId="0" fontId="3" fillId="0" borderId="0" xfId="0" applyFont="1" applyBorder="1" applyAlignment="1">
      <alignment horizontal="justify" vertical="top" wrapText="1"/>
    </xf>
    <xf numFmtId="0" fontId="6" fillId="4" borderId="14" xfId="0" applyFont="1" applyFill="1" applyBorder="1" applyAlignment="1">
      <alignment horizontal="center" vertical="center"/>
    </xf>
    <xf numFmtId="0" fontId="6" fillId="4" borderId="15" xfId="0" applyFont="1" applyFill="1" applyBorder="1" applyAlignment="1">
      <alignment horizontal="center" vertical="center"/>
    </xf>
    <xf numFmtId="0" fontId="6" fillId="4" borderId="16" xfId="0" applyFont="1" applyFill="1" applyBorder="1" applyAlignment="1">
      <alignment horizontal="center" vertical="center"/>
    </xf>
    <xf numFmtId="0" fontId="6" fillId="4" borderId="0" xfId="0" applyFont="1" applyFill="1" applyBorder="1" applyAlignment="1">
      <alignment horizontal="center" vertical="center"/>
    </xf>
    <xf numFmtId="0" fontId="6" fillId="4" borderId="17" xfId="0" applyFont="1" applyFill="1" applyBorder="1" applyAlignment="1">
      <alignment horizontal="center" vertical="center"/>
    </xf>
    <xf numFmtId="0" fontId="6" fillId="4" borderId="4" xfId="0" applyFont="1" applyFill="1" applyBorder="1" applyAlignment="1">
      <alignment horizontal="center" vertical="center"/>
    </xf>
    <xf numFmtId="0" fontId="6" fillId="4" borderId="18" xfId="0" applyFont="1" applyFill="1" applyBorder="1" applyAlignment="1">
      <alignment horizontal="center" vertical="center"/>
    </xf>
    <xf numFmtId="0" fontId="6" fillId="4" borderId="19" xfId="0" applyFont="1" applyFill="1" applyBorder="1" applyAlignment="1">
      <alignment horizontal="center" vertical="center"/>
    </xf>
    <xf numFmtId="0" fontId="6" fillId="4" borderId="20" xfId="0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left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H30"/>
  <sheetViews>
    <sheetView tabSelected="1" topLeftCell="A3" workbookViewId="0">
      <selection activeCell="E33" sqref="E33"/>
    </sheetView>
  </sheetViews>
  <sheetFormatPr defaultRowHeight="15" x14ac:dyDescent="0.25"/>
  <cols>
    <col min="1" max="1" width="6.42578125" customWidth="1"/>
    <col min="2" max="2" width="52.140625" customWidth="1"/>
    <col min="3" max="3" width="12.42578125" customWidth="1"/>
    <col min="4" max="4" width="11.28515625" customWidth="1"/>
    <col min="5" max="5" width="12.140625" customWidth="1"/>
    <col min="6" max="6" width="10.28515625" customWidth="1"/>
    <col min="7" max="7" width="10.5703125" customWidth="1"/>
    <col min="8" max="8" width="10.42578125" customWidth="1"/>
    <col min="9" max="9" width="9.5703125" customWidth="1"/>
    <col min="10" max="10" width="9.85546875" customWidth="1"/>
    <col min="11" max="11" width="10.140625" customWidth="1"/>
    <col min="12" max="12" width="10.5703125" customWidth="1"/>
    <col min="13" max="13" width="9.85546875" customWidth="1"/>
    <col min="14" max="14" width="10.42578125" customWidth="1"/>
    <col min="15" max="15" width="9.5703125" customWidth="1"/>
    <col min="16" max="17" width="10.42578125" customWidth="1"/>
    <col min="18" max="18" width="9.7109375" customWidth="1"/>
    <col min="19" max="19" width="9.140625" customWidth="1"/>
    <col min="20" max="20" width="10.140625" customWidth="1"/>
    <col min="21" max="21" width="9.85546875" customWidth="1"/>
    <col min="22" max="22" width="9.5703125" customWidth="1"/>
    <col min="23" max="23" width="9.140625" customWidth="1"/>
    <col min="24" max="24" width="9.85546875" customWidth="1"/>
    <col min="25" max="25" width="8.28515625" customWidth="1"/>
    <col min="26" max="26" width="9.7109375" customWidth="1"/>
    <col min="27" max="27" width="9" customWidth="1"/>
    <col min="28" max="28" width="9.7109375" customWidth="1"/>
    <col min="29" max="29" width="8.42578125" customWidth="1"/>
    <col min="30" max="30" width="10" customWidth="1"/>
    <col min="31" max="31" width="9" customWidth="1"/>
    <col min="32" max="32" width="9.85546875" customWidth="1"/>
    <col min="33" max="33" width="10.5703125" customWidth="1"/>
    <col min="34" max="34" width="17.7109375" customWidth="1"/>
  </cols>
  <sheetData>
    <row r="1" spans="1:34" hidden="1" x14ac:dyDescent="0.25">
      <c r="A1" s="27" t="s">
        <v>56</v>
      </c>
      <c r="B1" s="27"/>
    </row>
    <row r="2" spans="1:34" hidden="1" x14ac:dyDescent="0.25">
      <c r="A2" s="1" t="s">
        <v>0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</row>
    <row r="3" spans="1:34" ht="15.75" thickBot="1" x14ac:dyDescent="0.3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</row>
    <row r="4" spans="1:34" s="3" customFormat="1" ht="15.75" customHeight="1" thickTop="1" x14ac:dyDescent="0.25">
      <c r="A4" s="30" t="s">
        <v>1</v>
      </c>
      <c r="B4" s="31"/>
      <c r="C4" s="31"/>
      <c r="D4" s="31"/>
      <c r="E4" s="31"/>
      <c r="F4" s="31"/>
      <c r="G4" s="31"/>
      <c r="H4" s="31"/>
      <c r="I4" s="31"/>
      <c r="J4" s="31"/>
      <c r="K4" s="31"/>
      <c r="L4" s="31"/>
      <c r="M4" s="31"/>
      <c r="N4" s="31"/>
      <c r="O4" s="31"/>
      <c r="P4" s="31"/>
      <c r="Q4" s="31"/>
      <c r="R4" s="31"/>
      <c r="S4" s="31"/>
      <c r="T4" s="31"/>
      <c r="U4" s="31"/>
      <c r="V4" s="31"/>
      <c r="W4" s="31"/>
      <c r="X4" s="31"/>
      <c r="Y4" s="31"/>
      <c r="Z4" s="31"/>
      <c r="AA4" s="31"/>
      <c r="AB4" s="31"/>
      <c r="AC4" s="31"/>
      <c r="AD4" s="31"/>
      <c r="AE4" s="31"/>
      <c r="AF4" s="31"/>
      <c r="AG4" s="31"/>
      <c r="AH4" s="36"/>
    </row>
    <row r="5" spans="1:34" s="3" customFormat="1" ht="15.75" customHeight="1" x14ac:dyDescent="0.25">
      <c r="A5" s="32"/>
      <c r="B5" s="33"/>
      <c r="C5" s="33"/>
      <c r="D5" s="33"/>
      <c r="E5" s="33"/>
      <c r="F5" s="33"/>
      <c r="G5" s="33"/>
      <c r="H5" s="33"/>
      <c r="I5" s="33"/>
      <c r="J5" s="33"/>
      <c r="K5" s="33"/>
      <c r="L5" s="33"/>
      <c r="M5" s="33"/>
      <c r="N5" s="33"/>
      <c r="O5" s="33"/>
      <c r="P5" s="33"/>
      <c r="Q5" s="33"/>
      <c r="R5" s="33"/>
      <c r="S5" s="33"/>
      <c r="T5" s="33"/>
      <c r="U5" s="33"/>
      <c r="V5" s="33"/>
      <c r="W5" s="33"/>
      <c r="X5" s="33"/>
      <c r="Y5" s="33"/>
      <c r="Z5" s="33"/>
      <c r="AA5" s="33"/>
      <c r="AB5" s="33"/>
      <c r="AC5" s="33"/>
      <c r="AD5" s="33"/>
      <c r="AE5" s="33"/>
      <c r="AF5" s="33"/>
      <c r="AG5" s="33"/>
      <c r="AH5" s="37"/>
    </row>
    <row r="6" spans="1:34" s="3" customFormat="1" ht="15.75" customHeight="1" x14ac:dyDescent="0.25">
      <c r="A6" s="32"/>
      <c r="B6" s="33"/>
      <c r="C6" s="33"/>
      <c r="D6" s="33"/>
      <c r="E6" s="33"/>
      <c r="F6" s="33"/>
      <c r="G6" s="33"/>
      <c r="H6" s="33"/>
      <c r="I6" s="33"/>
      <c r="J6" s="33"/>
      <c r="K6" s="33"/>
      <c r="L6" s="33"/>
      <c r="M6" s="33"/>
      <c r="N6" s="33"/>
      <c r="O6" s="33"/>
      <c r="P6" s="33"/>
      <c r="Q6" s="33"/>
      <c r="R6" s="33"/>
      <c r="S6" s="33"/>
      <c r="T6" s="33"/>
      <c r="U6" s="33"/>
      <c r="V6" s="33"/>
      <c r="W6" s="33"/>
      <c r="X6" s="33"/>
      <c r="Y6" s="33"/>
      <c r="Z6" s="33"/>
      <c r="AA6" s="33"/>
      <c r="AB6" s="33"/>
      <c r="AC6" s="33"/>
      <c r="AD6" s="33"/>
      <c r="AE6" s="33"/>
      <c r="AF6" s="33"/>
      <c r="AG6" s="33"/>
      <c r="AH6" s="37"/>
    </row>
    <row r="7" spans="1:34" s="3" customFormat="1" ht="15.75" customHeight="1" thickBot="1" x14ac:dyDescent="0.3">
      <c r="A7" s="34"/>
      <c r="B7" s="35"/>
      <c r="C7" s="35"/>
      <c r="D7" s="35"/>
      <c r="E7" s="35"/>
      <c r="F7" s="35"/>
      <c r="G7" s="35"/>
      <c r="H7" s="35"/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  <c r="AE7" s="35"/>
      <c r="AF7" s="35"/>
      <c r="AG7" s="35"/>
      <c r="AH7" s="38"/>
    </row>
    <row r="8" spans="1:34" s="3" customFormat="1" ht="16.5" thickTop="1" x14ac:dyDescent="0.25">
      <c r="A8" s="39" t="s">
        <v>2</v>
      </c>
      <c r="B8" s="39"/>
      <c r="C8" s="4"/>
      <c r="D8" s="5"/>
      <c r="F8" s="5"/>
      <c r="H8" s="5"/>
      <c r="J8" s="5"/>
      <c r="K8" s="5"/>
      <c r="L8" s="5"/>
      <c r="M8" s="5"/>
      <c r="N8" s="5"/>
    </row>
    <row r="9" spans="1:34" s="3" customFormat="1" ht="15.75" x14ac:dyDescent="0.25">
      <c r="A9" s="28" t="s">
        <v>3</v>
      </c>
      <c r="B9" s="28"/>
      <c r="C9" s="6"/>
      <c r="D9" s="5"/>
      <c r="F9" s="5"/>
      <c r="H9" s="5"/>
      <c r="J9" s="5"/>
      <c r="K9" s="5"/>
      <c r="L9" s="5"/>
      <c r="M9" s="5"/>
      <c r="N9" s="5"/>
    </row>
    <row r="10" spans="1:34" s="3" customFormat="1" ht="15.75" x14ac:dyDescent="0.25">
      <c r="A10" s="28" t="s">
        <v>4</v>
      </c>
      <c r="B10" s="28"/>
      <c r="C10" s="7"/>
      <c r="D10" s="5"/>
      <c r="F10" s="5"/>
      <c r="H10" s="5"/>
      <c r="J10" s="5"/>
      <c r="K10" s="5"/>
      <c r="L10" s="5"/>
      <c r="M10" s="5"/>
      <c r="N10" s="5"/>
    </row>
    <row r="11" spans="1:34" s="3" customFormat="1" ht="15.75" x14ac:dyDescent="0.25">
      <c r="A11" s="28" t="s">
        <v>5</v>
      </c>
      <c r="B11" s="28"/>
      <c r="C11" s="7"/>
      <c r="D11" s="5"/>
      <c r="F11" s="5"/>
      <c r="H11" s="5"/>
      <c r="J11" s="5"/>
      <c r="K11" s="5"/>
      <c r="L11" s="5"/>
      <c r="M11" s="5"/>
      <c r="N11" s="5"/>
    </row>
    <row r="12" spans="1:34" ht="16.5" thickBot="1" x14ac:dyDescent="0.3">
      <c r="A12" s="8"/>
      <c r="AF12" s="9"/>
      <c r="AG12" s="10" t="s">
        <v>6</v>
      </c>
      <c r="AH12" s="10"/>
    </row>
    <row r="13" spans="1:34" ht="22.5" customHeight="1" x14ac:dyDescent="0.25">
      <c r="A13" s="11" t="s">
        <v>7</v>
      </c>
      <c r="B13" s="12" t="s">
        <v>55</v>
      </c>
      <c r="C13" s="13" t="s">
        <v>8</v>
      </c>
      <c r="D13" s="13" t="s">
        <v>9</v>
      </c>
      <c r="E13" s="13" t="s">
        <v>10</v>
      </c>
      <c r="F13" s="13" t="s">
        <v>11</v>
      </c>
      <c r="G13" s="13" t="s">
        <v>12</v>
      </c>
      <c r="H13" s="13" t="s">
        <v>13</v>
      </c>
      <c r="I13" s="13" t="s">
        <v>14</v>
      </c>
      <c r="J13" s="13" t="s">
        <v>15</v>
      </c>
      <c r="K13" s="13" t="s">
        <v>16</v>
      </c>
      <c r="L13" s="13" t="s">
        <v>17</v>
      </c>
      <c r="M13" s="13" t="s">
        <v>18</v>
      </c>
      <c r="N13" s="13" t="s">
        <v>19</v>
      </c>
      <c r="O13" s="13" t="s">
        <v>20</v>
      </c>
      <c r="P13" s="13" t="s">
        <v>21</v>
      </c>
      <c r="Q13" s="13" t="s">
        <v>22</v>
      </c>
      <c r="R13" s="13" t="s">
        <v>23</v>
      </c>
      <c r="S13" s="13" t="s">
        <v>24</v>
      </c>
      <c r="T13" s="13" t="s">
        <v>25</v>
      </c>
      <c r="U13" s="13" t="s">
        <v>26</v>
      </c>
      <c r="V13" s="13" t="s">
        <v>27</v>
      </c>
      <c r="W13" s="13" t="s">
        <v>28</v>
      </c>
      <c r="X13" s="13" t="s">
        <v>29</v>
      </c>
      <c r="Y13" s="13" t="s">
        <v>30</v>
      </c>
      <c r="Z13" s="13" t="s">
        <v>31</v>
      </c>
      <c r="AA13" s="13" t="s">
        <v>32</v>
      </c>
      <c r="AB13" s="13" t="s">
        <v>33</v>
      </c>
      <c r="AC13" s="13" t="s">
        <v>34</v>
      </c>
      <c r="AD13" s="13" t="s">
        <v>35</v>
      </c>
      <c r="AE13" s="13" t="s">
        <v>36</v>
      </c>
      <c r="AF13" s="13" t="s">
        <v>37</v>
      </c>
      <c r="AG13" s="13" t="s">
        <v>38</v>
      </c>
      <c r="AH13" s="14" t="s">
        <v>39</v>
      </c>
    </row>
    <row r="14" spans="1:34" ht="15.75" x14ac:dyDescent="0.25">
      <c r="A14" s="26">
        <v>1</v>
      </c>
      <c r="B14" s="16" t="s">
        <v>40</v>
      </c>
      <c r="C14" s="17">
        <f>C16+C15+C17</f>
        <v>0</v>
      </c>
      <c r="D14" s="17">
        <f t="shared" ref="D14:AG14" si="0">D16+D15+D17</f>
        <v>0</v>
      </c>
      <c r="E14" s="17">
        <f t="shared" si="0"/>
        <v>0</v>
      </c>
      <c r="F14" s="17">
        <f t="shared" si="0"/>
        <v>0</v>
      </c>
      <c r="G14" s="17">
        <f t="shared" si="0"/>
        <v>0</v>
      </c>
      <c r="H14" s="17">
        <f t="shared" si="0"/>
        <v>0</v>
      </c>
      <c r="I14" s="17">
        <f t="shared" si="0"/>
        <v>0</v>
      </c>
      <c r="J14" s="17">
        <f t="shared" si="0"/>
        <v>0</v>
      </c>
      <c r="K14" s="17">
        <f t="shared" si="0"/>
        <v>0</v>
      </c>
      <c r="L14" s="17">
        <f t="shared" si="0"/>
        <v>0</v>
      </c>
      <c r="M14" s="17">
        <f t="shared" si="0"/>
        <v>0</v>
      </c>
      <c r="N14" s="17">
        <f t="shared" si="0"/>
        <v>0</v>
      </c>
      <c r="O14" s="17">
        <f t="shared" si="0"/>
        <v>0</v>
      </c>
      <c r="P14" s="17">
        <f t="shared" si="0"/>
        <v>0</v>
      </c>
      <c r="Q14" s="17">
        <f t="shared" si="0"/>
        <v>0</v>
      </c>
      <c r="R14" s="17">
        <f t="shared" si="0"/>
        <v>0</v>
      </c>
      <c r="S14" s="17">
        <f t="shared" si="0"/>
        <v>0</v>
      </c>
      <c r="T14" s="17">
        <f t="shared" si="0"/>
        <v>0</v>
      </c>
      <c r="U14" s="17">
        <f t="shared" si="0"/>
        <v>0</v>
      </c>
      <c r="V14" s="17">
        <f t="shared" si="0"/>
        <v>0</v>
      </c>
      <c r="W14" s="17">
        <f t="shared" si="0"/>
        <v>0</v>
      </c>
      <c r="X14" s="17">
        <f t="shared" si="0"/>
        <v>0</v>
      </c>
      <c r="Y14" s="17">
        <f t="shared" si="0"/>
        <v>0</v>
      </c>
      <c r="Z14" s="17">
        <f t="shared" si="0"/>
        <v>0</v>
      </c>
      <c r="AA14" s="17">
        <f t="shared" si="0"/>
        <v>0</v>
      </c>
      <c r="AB14" s="17">
        <f t="shared" si="0"/>
        <v>0</v>
      </c>
      <c r="AC14" s="17">
        <f t="shared" si="0"/>
        <v>0</v>
      </c>
      <c r="AD14" s="17">
        <f t="shared" si="0"/>
        <v>0</v>
      </c>
      <c r="AE14" s="17">
        <f t="shared" si="0"/>
        <v>0</v>
      </c>
      <c r="AF14" s="17">
        <f t="shared" si="0"/>
        <v>0</v>
      </c>
      <c r="AG14" s="17">
        <f t="shared" si="0"/>
        <v>0</v>
      </c>
      <c r="AH14" s="18">
        <f t="shared" ref="AH14:AH22" si="1">SUM(C14:AG14)/DAY(EOMONTH($C$11,0))</f>
        <v>0</v>
      </c>
    </row>
    <row r="15" spans="1:34" ht="15.75" x14ac:dyDescent="0.25">
      <c r="A15" s="26">
        <v>1.1000000000000001</v>
      </c>
      <c r="B15" s="16" t="s">
        <v>41</v>
      </c>
      <c r="C15" s="19"/>
      <c r="D15" s="19"/>
      <c r="E15" s="19"/>
      <c r="F15" s="19"/>
      <c r="G15" s="19"/>
      <c r="H15" s="19"/>
      <c r="I15" s="19"/>
      <c r="J15" s="19"/>
      <c r="K15" s="19"/>
      <c r="L15" s="19"/>
      <c r="M15" s="19"/>
      <c r="N15" s="19"/>
      <c r="O15" s="19"/>
      <c r="P15" s="19"/>
      <c r="Q15" s="19"/>
      <c r="R15" s="19"/>
      <c r="S15" s="19"/>
      <c r="T15" s="19"/>
      <c r="U15" s="19"/>
      <c r="V15" s="19"/>
      <c r="W15" s="19"/>
      <c r="X15" s="19"/>
      <c r="Y15" s="19"/>
      <c r="Z15" s="19"/>
      <c r="AA15" s="19"/>
      <c r="AB15" s="19"/>
      <c r="AC15" s="19"/>
      <c r="AD15" s="19"/>
      <c r="AE15" s="19"/>
      <c r="AF15" s="19"/>
      <c r="AG15" s="19"/>
      <c r="AH15" s="18">
        <f t="shared" si="1"/>
        <v>0</v>
      </c>
    </row>
    <row r="16" spans="1:34" ht="15.75" x14ac:dyDescent="0.25">
      <c r="A16" s="26">
        <v>1.2</v>
      </c>
      <c r="B16" s="16" t="s">
        <v>42</v>
      </c>
      <c r="C16" s="19"/>
      <c r="D16" s="19"/>
      <c r="E16" s="19"/>
      <c r="F16" s="19"/>
      <c r="G16" s="19"/>
      <c r="H16" s="19"/>
      <c r="I16" s="19"/>
      <c r="J16" s="19"/>
      <c r="K16" s="19"/>
      <c r="L16" s="19"/>
      <c r="M16" s="19"/>
      <c r="N16" s="19"/>
      <c r="O16" s="19"/>
      <c r="P16" s="19"/>
      <c r="Q16" s="19"/>
      <c r="R16" s="19"/>
      <c r="S16" s="19"/>
      <c r="T16" s="19"/>
      <c r="U16" s="19"/>
      <c r="V16" s="19"/>
      <c r="W16" s="19"/>
      <c r="X16" s="19"/>
      <c r="Y16" s="19"/>
      <c r="Z16" s="19"/>
      <c r="AA16" s="19"/>
      <c r="AB16" s="19"/>
      <c r="AC16" s="19"/>
      <c r="AD16" s="19"/>
      <c r="AE16" s="19"/>
      <c r="AF16" s="19"/>
      <c r="AG16" s="19"/>
      <c r="AH16" s="18">
        <f t="shared" si="1"/>
        <v>0</v>
      </c>
    </row>
    <row r="17" spans="1:34" ht="15.75" x14ac:dyDescent="0.25">
      <c r="A17" s="26">
        <v>1.3</v>
      </c>
      <c r="B17" s="16" t="s">
        <v>43</v>
      </c>
      <c r="C17" s="19"/>
      <c r="D17" s="19"/>
      <c r="E17" s="19"/>
      <c r="F17" s="19"/>
      <c r="G17" s="19"/>
      <c r="H17" s="19"/>
      <c r="I17" s="19"/>
      <c r="J17" s="19"/>
      <c r="K17" s="19"/>
      <c r="L17" s="19"/>
      <c r="M17" s="19"/>
      <c r="N17" s="19"/>
      <c r="O17" s="19"/>
      <c r="P17" s="19"/>
      <c r="Q17" s="19"/>
      <c r="R17" s="19"/>
      <c r="S17" s="19"/>
      <c r="T17" s="19"/>
      <c r="U17" s="19"/>
      <c r="V17" s="19"/>
      <c r="W17" s="19"/>
      <c r="X17" s="19"/>
      <c r="Y17" s="19"/>
      <c r="Z17" s="19"/>
      <c r="AA17" s="19"/>
      <c r="AB17" s="19"/>
      <c r="AC17" s="19"/>
      <c r="AD17" s="19"/>
      <c r="AE17" s="19"/>
      <c r="AF17" s="19"/>
      <c r="AG17" s="19"/>
      <c r="AH17" s="18">
        <f t="shared" si="1"/>
        <v>0</v>
      </c>
    </row>
    <row r="18" spans="1:34" ht="15.75" x14ac:dyDescent="0.25">
      <c r="A18" s="26">
        <v>2</v>
      </c>
      <c r="B18" s="16" t="s">
        <v>44</v>
      </c>
      <c r="C18" s="17">
        <f>C19+C20</f>
        <v>0</v>
      </c>
      <c r="D18" s="17">
        <f t="shared" ref="D18:AG18" si="2">D19+D20</f>
        <v>0</v>
      </c>
      <c r="E18" s="17">
        <f t="shared" si="2"/>
        <v>0</v>
      </c>
      <c r="F18" s="17">
        <f t="shared" si="2"/>
        <v>0</v>
      </c>
      <c r="G18" s="17">
        <f t="shared" si="2"/>
        <v>0</v>
      </c>
      <c r="H18" s="17">
        <f t="shared" si="2"/>
        <v>0</v>
      </c>
      <c r="I18" s="17">
        <f t="shared" si="2"/>
        <v>0</v>
      </c>
      <c r="J18" s="17">
        <f t="shared" si="2"/>
        <v>0</v>
      </c>
      <c r="K18" s="17">
        <f t="shared" si="2"/>
        <v>0</v>
      </c>
      <c r="L18" s="17">
        <f t="shared" si="2"/>
        <v>0</v>
      </c>
      <c r="M18" s="17">
        <f t="shared" si="2"/>
        <v>0</v>
      </c>
      <c r="N18" s="17">
        <f t="shared" si="2"/>
        <v>0</v>
      </c>
      <c r="O18" s="17">
        <f t="shared" si="2"/>
        <v>0</v>
      </c>
      <c r="P18" s="17">
        <f t="shared" si="2"/>
        <v>0</v>
      </c>
      <c r="Q18" s="17">
        <f t="shared" si="2"/>
        <v>0</v>
      </c>
      <c r="R18" s="17">
        <f t="shared" si="2"/>
        <v>0</v>
      </c>
      <c r="S18" s="17">
        <f t="shared" si="2"/>
        <v>0</v>
      </c>
      <c r="T18" s="17">
        <f t="shared" si="2"/>
        <v>0</v>
      </c>
      <c r="U18" s="17">
        <f t="shared" si="2"/>
        <v>0</v>
      </c>
      <c r="V18" s="17">
        <f t="shared" si="2"/>
        <v>0</v>
      </c>
      <c r="W18" s="17">
        <f t="shared" si="2"/>
        <v>0</v>
      </c>
      <c r="X18" s="17">
        <f t="shared" si="2"/>
        <v>0</v>
      </c>
      <c r="Y18" s="17">
        <f t="shared" si="2"/>
        <v>0</v>
      </c>
      <c r="Z18" s="17">
        <f t="shared" si="2"/>
        <v>0</v>
      </c>
      <c r="AA18" s="17">
        <f t="shared" si="2"/>
        <v>0</v>
      </c>
      <c r="AB18" s="17">
        <f t="shared" si="2"/>
        <v>0</v>
      </c>
      <c r="AC18" s="17">
        <f t="shared" si="2"/>
        <v>0</v>
      </c>
      <c r="AD18" s="17">
        <f t="shared" si="2"/>
        <v>0</v>
      </c>
      <c r="AE18" s="17">
        <f t="shared" si="2"/>
        <v>0</v>
      </c>
      <c r="AF18" s="17">
        <f t="shared" si="2"/>
        <v>0</v>
      </c>
      <c r="AG18" s="17">
        <f t="shared" si="2"/>
        <v>0</v>
      </c>
      <c r="AH18" s="18">
        <f t="shared" si="1"/>
        <v>0</v>
      </c>
    </row>
    <row r="19" spans="1:34" ht="15.75" x14ac:dyDescent="0.25">
      <c r="A19" s="26">
        <v>2.1</v>
      </c>
      <c r="B19" s="16" t="s">
        <v>45</v>
      </c>
      <c r="C19" s="19"/>
      <c r="D19" s="19"/>
      <c r="E19" s="19"/>
      <c r="F19" s="19"/>
      <c r="G19" s="19"/>
      <c r="H19" s="19"/>
      <c r="I19" s="19"/>
      <c r="J19" s="19"/>
      <c r="K19" s="19"/>
      <c r="L19" s="19"/>
      <c r="M19" s="19"/>
      <c r="N19" s="19"/>
      <c r="O19" s="19"/>
      <c r="P19" s="19"/>
      <c r="Q19" s="19"/>
      <c r="R19" s="19"/>
      <c r="S19" s="19"/>
      <c r="T19" s="19"/>
      <c r="U19" s="19"/>
      <c r="V19" s="19"/>
      <c r="W19" s="19"/>
      <c r="X19" s="19"/>
      <c r="Y19" s="19"/>
      <c r="Z19" s="19"/>
      <c r="AA19" s="19"/>
      <c r="AB19" s="19"/>
      <c r="AC19" s="19"/>
      <c r="AD19" s="19"/>
      <c r="AE19" s="19"/>
      <c r="AF19" s="19"/>
      <c r="AG19" s="19"/>
      <c r="AH19" s="18">
        <f t="shared" si="1"/>
        <v>0</v>
      </c>
    </row>
    <row r="20" spans="1:34" ht="15.75" x14ac:dyDescent="0.25">
      <c r="A20" s="26">
        <v>2.2000000000000002</v>
      </c>
      <c r="B20" s="16" t="s">
        <v>46</v>
      </c>
      <c r="C20" s="19"/>
      <c r="D20" s="19"/>
      <c r="E20" s="19"/>
      <c r="F20" s="19"/>
      <c r="G20" s="19"/>
      <c r="H20" s="19"/>
      <c r="I20" s="19"/>
      <c r="J20" s="19"/>
      <c r="K20" s="19"/>
      <c r="L20" s="19"/>
      <c r="M20" s="19"/>
      <c r="N20" s="19"/>
      <c r="O20" s="19"/>
      <c r="P20" s="19"/>
      <c r="Q20" s="19"/>
      <c r="R20" s="19"/>
      <c r="S20" s="19"/>
      <c r="T20" s="19"/>
      <c r="U20" s="19"/>
      <c r="V20" s="19"/>
      <c r="W20" s="19"/>
      <c r="X20" s="19"/>
      <c r="Y20" s="19"/>
      <c r="Z20" s="19"/>
      <c r="AA20" s="19"/>
      <c r="AB20" s="19"/>
      <c r="AC20" s="19"/>
      <c r="AD20" s="19"/>
      <c r="AE20" s="19"/>
      <c r="AF20" s="19"/>
      <c r="AG20" s="19"/>
      <c r="AH20" s="18">
        <f t="shared" si="1"/>
        <v>0</v>
      </c>
    </row>
    <row r="21" spans="1:34" ht="18" customHeight="1" x14ac:dyDescent="0.25">
      <c r="A21" s="26">
        <v>3</v>
      </c>
      <c r="B21" s="16" t="s">
        <v>47</v>
      </c>
      <c r="C21" s="17">
        <f>C14-C18</f>
        <v>0</v>
      </c>
      <c r="D21" s="17">
        <f t="shared" ref="D21:AG21" si="3">D14-D18</f>
        <v>0</v>
      </c>
      <c r="E21" s="17">
        <f t="shared" si="3"/>
        <v>0</v>
      </c>
      <c r="F21" s="17">
        <f t="shared" si="3"/>
        <v>0</v>
      </c>
      <c r="G21" s="17">
        <f t="shared" si="3"/>
        <v>0</v>
      </c>
      <c r="H21" s="17">
        <f t="shared" si="3"/>
        <v>0</v>
      </c>
      <c r="I21" s="17">
        <f t="shared" si="3"/>
        <v>0</v>
      </c>
      <c r="J21" s="17">
        <f t="shared" si="3"/>
        <v>0</v>
      </c>
      <c r="K21" s="17">
        <f t="shared" si="3"/>
        <v>0</v>
      </c>
      <c r="L21" s="17">
        <f t="shared" si="3"/>
        <v>0</v>
      </c>
      <c r="M21" s="17">
        <f t="shared" si="3"/>
        <v>0</v>
      </c>
      <c r="N21" s="17">
        <f t="shared" si="3"/>
        <v>0</v>
      </c>
      <c r="O21" s="17">
        <f t="shared" si="3"/>
        <v>0</v>
      </c>
      <c r="P21" s="17">
        <f t="shared" si="3"/>
        <v>0</v>
      </c>
      <c r="Q21" s="17">
        <f t="shared" si="3"/>
        <v>0</v>
      </c>
      <c r="R21" s="17">
        <f t="shared" si="3"/>
        <v>0</v>
      </c>
      <c r="S21" s="17">
        <f t="shared" si="3"/>
        <v>0</v>
      </c>
      <c r="T21" s="17">
        <f t="shared" si="3"/>
        <v>0</v>
      </c>
      <c r="U21" s="17">
        <f t="shared" si="3"/>
        <v>0</v>
      </c>
      <c r="V21" s="17">
        <f t="shared" si="3"/>
        <v>0</v>
      </c>
      <c r="W21" s="17">
        <f t="shared" si="3"/>
        <v>0</v>
      </c>
      <c r="X21" s="17">
        <f t="shared" si="3"/>
        <v>0</v>
      </c>
      <c r="Y21" s="17">
        <f t="shared" si="3"/>
        <v>0</v>
      </c>
      <c r="Z21" s="17">
        <f t="shared" si="3"/>
        <v>0</v>
      </c>
      <c r="AA21" s="17">
        <f t="shared" si="3"/>
        <v>0</v>
      </c>
      <c r="AB21" s="17">
        <f t="shared" si="3"/>
        <v>0</v>
      </c>
      <c r="AC21" s="17">
        <f t="shared" si="3"/>
        <v>0</v>
      </c>
      <c r="AD21" s="17">
        <f t="shared" si="3"/>
        <v>0</v>
      </c>
      <c r="AE21" s="17">
        <f t="shared" si="3"/>
        <v>0</v>
      </c>
      <c r="AF21" s="17">
        <f t="shared" si="3"/>
        <v>0</v>
      </c>
      <c r="AG21" s="17">
        <f t="shared" si="3"/>
        <v>0</v>
      </c>
      <c r="AH21" s="18">
        <f t="shared" si="1"/>
        <v>0</v>
      </c>
    </row>
    <row r="22" spans="1:34" ht="15.75" x14ac:dyDescent="0.25">
      <c r="A22" s="26">
        <v>4</v>
      </c>
      <c r="B22" s="16" t="s">
        <v>48</v>
      </c>
      <c r="C22" s="19"/>
      <c r="D22" s="19"/>
      <c r="E22" s="19"/>
      <c r="F22" s="19"/>
      <c r="G22" s="19"/>
      <c r="H22" s="19"/>
      <c r="I22" s="19"/>
      <c r="J22" s="19"/>
      <c r="K22" s="19"/>
      <c r="L22" s="19"/>
      <c r="M22" s="19"/>
      <c r="N22" s="19"/>
      <c r="O22" s="19"/>
      <c r="P22" s="19"/>
      <c r="Q22" s="19"/>
      <c r="R22" s="19"/>
      <c r="S22" s="19"/>
      <c r="T22" s="19"/>
      <c r="U22" s="19"/>
      <c r="V22" s="19"/>
      <c r="W22" s="19"/>
      <c r="X22" s="19"/>
      <c r="Y22" s="19"/>
      <c r="Z22" s="19"/>
      <c r="AA22" s="19"/>
      <c r="AB22" s="19"/>
      <c r="AC22" s="19"/>
      <c r="AD22" s="19"/>
      <c r="AE22" s="19"/>
      <c r="AF22" s="19"/>
      <c r="AG22" s="19"/>
      <c r="AH22" s="18">
        <f t="shared" si="1"/>
        <v>0</v>
      </c>
    </row>
    <row r="23" spans="1:34" ht="15.75" x14ac:dyDescent="0.25">
      <c r="A23" s="26">
        <v>5</v>
      </c>
      <c r="B23" s="16" t="s">
        <v>49</v>
      </c>
      <c r="C23" s="19"/>
      <c r="D23" s="19"/>
      <c r="E23" s="19"/>
      <c r="F23" s="19"/>
      <c r="G23" s="19"/>
      <c r="H23" s="19"/>
      <c r="I23" s="19"/>
      <c r="J23" s="19"/>
      <c r="K23" s="19"/>
      <c r="L23" s="19"/>
      <c r="M23" s="19"/>
      <c r="N23" s="19"/>
      <c r="O23" s="19"/>
      <c r="P23" s="19"/>
      <c r="Q23" s="19"/>
      <c r="R23" s="19"/>
      <c r="S23" s="19"/>
      <c r="T23" s="19"/>
      <c r="U23" s="19"/>
      <c r="V23" s="19"/>
      <c r="W23" s="19"/>
      <c r="X23" s="19"/>
      <c r="Y23" s="19"/>
      <c r="Z23" s="19"/>
      <c r="AA23" s="19"/>
      <c r="AB23" s="19"/>
      <c r="AC23" s="19"/>
      <c r="AD23" s="19"/>
      <c r="AE23" s="19"/>
      <c r="AF23" s="19"/>
      <c r="AG23" s="19"/>
      <c r="AH23" s="18">
        <f>SUM(C23:AG23)/DAY(EOMONTH($C$11,0))</f>
        <v>0</v>
      </c>
    </row>
    <row r="24" spans="1:34" ht="15.75" x14ac:dyDescent="0.25">
      <c r="A24" s="26">
        <v>6</v>
      </c>
      <c r="B24" s="16" t="s">
        <v>50</v>
      </c>
      <c r="C24" s="17">
        <f>SUM(C22:C23)</f>
        <v>0</v>
      </c>
      <c r="D24" s="17">
        <f t="shared" ref="D24:AG24" si="4">SUM(D22:D23)</f>
        <v>0</v>
      </c>
      <c r="E24" s="17">
        <f t="shared" si="4"/>
        <v>0</v>
      </c>
      <c r="F24" s="17">
        <f t="shared" si="4"/>
        <v>0</v>
      </c>
      <c r="G24" s="17">
        <f t="shared" si="4"/>
        <v>0</v>
      </c>
      <c r="H24" s="17">
        <f t="shared" si="4"/>
        <v>0</v>
      </c>
      <c r="I24" s="17">
        <f t="shared" si="4"/>
        <v>0</v>
      </c>
      <c r="J24" s="17">
        <f t="shared" si="4"/>
        <v>0</v>
      </c>
      <c r="K24" s="17">
        <f t="shared" si="4"/>
        <v>0</v>
      </c>
      <c r="L24" s="17">
        <f t="shared" si="4"/>
        <v>0</v>
      </c>
      <c r="M24" s="17">
        <f t="shared" si="4"/>
        <v>0</v>
      </c>
      <c r="N24" s="17">
        <f t="shared" si="4"/>
        <v>0</v>
      </c>
      <c r="O24" s="17">
        <f t="shared" si="4"/>
        <v>0</v>
      </c>
      <c r="P24" s="17">
        <f t="shared" si="4"/>
        <v>0</v>
      </c>
      <c r="Q24" s="17">
        <f t="shared" si="4"/>
        <v>0</v>
      </c>
      <c r="R24" s="17">
        <f t="shared" si="4"/>
        <v>0</v>
      </c>
      <c r="S24" s="17">
        <f t="shared" si="4"/>
        <v>0</v>
      </c>
      <c r="T24" s="17">
        <f t="shared" si="4"/>
        <v>0</v>
      </c>
      <c r="U24" s="17">
        <f t="shared" si="4"/>
        <v>0</v>
      </c>
      <c r="V24" s="17">
        <f t="shared" si="4"/>
        <v>0</v>
      </c>
      <c r="W24" s="17">
        <f t="shared" si="4"/>
        <v>0</v>
      </c>
      <c r="X24" s="17">
        <f t="shared" si="4"/>
        <v>0</v>
      </c>
      <c r="Y24" s="17">
        <f t="shared" si="4"/>
        <v>0</v>
      </c>
      <c r="Z24" s="17">
        <f t="shared" si="4"/>
        <v>0</v>
      </c>
      <c r="AA24" s="17">
        <f t="shared" si="4"/>
        <v>0</v>
      </c>
      <c r="AB24" s="17">
        <f t="shared" si="4"/>
        <v>0</v>
      </c>
      <c r="AC24" s="17">
        <f t="shared" si="4"/>
        <v>0</v>
      </c>
      <c r="AD24" s="17">
        <f t="shared" si="4"/>
        <v>0</v>
      </c>
      <c r="AE24" s="17">
        <f t="shared" si="4"/>
        <v>0</v>
      </c>
      <c r="AF24" s="17">
        <f t="shared" si="4"/>
        <v>0</v>
      </c>
      <c r="AG24" s="17">
        <f t="shared" si="4"/>
        <v>0</v>
      </c>
      <c r="AH24" s="18">
        <f>SUM(C24:AG24)/DAY(EOMONTH($C$11,0))</f>
        <v>0</v>
      </c>
    </row>
    <row r="25" spans="1:34" ht="15.75" hidden="1" x14ac:dyDescent="0.25">
      <c r="A25" s="15">
        <v>9</v>
      </c>
      <c r="B25" s="16" t="s">
        <v>51</v>
      </c>
      <c r="C25" s="17" t="e">
        <f>#REF!-#REF!</f>
        <v>#REF!</v>
      </c>
      <c r="D25" s="17" t="e">
        <f>#REF!-#REF!</f>
        <v>#REF!</v>
      </c>
      <c r="E25" s="17" t="e">
        <f>#REF!-#REF!</f>
        <v>#REF!</v>
      </c>
      <c r="F25" s="17" t="e">
        <f>#REF!-#REF!</f>
        <v>#REF!</v>
      </c>
      <c r="G25" s="17" t="e">
        <f>#REF!-#REF!</f>
        <v>#REF!</v>
      </c>
      <c r="H25" s="17" t="e">
        <f>#REF!-#REF!</f>
        <v>#REF!</v>
      </c>
      <c r="I25" s="17" t="e">
        <f>#REF!-#REF!</f>
        <v>#REF!</v>
      </c>
      <c r="J25" s="17" t="e">
        <f>#REF!-#REF!</f>
        <v>#REF!</v>
      </c>
      <c r="K25" s="17" t="e">
        <f>#REF!-#REF!</f>
        <v>#REF!</v>
      </c>
      <c r="L25" s="17" t="e">
        <f>#REF!-#REF!</f>
        <v>#REF!</v>
      </c>
      <c r="M25" s="17" t="e">
        <f>#REF!-#REF!</f>
        <v>#REF!</v>
      </c>
      <c r="N25" s="17" t="e">
        <f>#REF!-#REF!</f>
        <v>#REF!</v>
      </c>
      <c r="O25" s="17" t="e">
        <f>#REF!-#REF!</f>
        <v>#REF!</v>
      </c>
      <c r="P25" s="17" t="e">
        <f>#REF!-#REF!</f>
        <v>#REF!</v>
      </c>
      <c r="Q25" s="17" t="e">
        <f>#REF!-#REF!</f>
        <v>#REF!</v>
      </c>
      <c r="R25" s="17" t="e">
        <f>#REF!-#REF!</f>
        <v>#REF!</v>
      </c>
      <c r="S25" s="17" t="e">
        <f>#REF!-#REF!</f>
        <v>#REF!</v>
      </c>
      <c r="T25" s="17" t="e">
        <f>#REF!-#REF!</f>
        <v>#REF!</v>
      </c>
      <c r="U25" s="17" t="e">
        <f>#REF!-#REF!</f>
        <v>#REF!</v>
      </c>
      <c r="V25" s="17" t="e">
        <f>#REF!-#REF!</f>
        <v>#REF!</v>
      </c>
      <c r="W25" s="17" t="e">
        <f>#REF!-#REF!</f>
        <v>#REF!</v>
      </c>
      <c r="X25" s="17" t="e">
        <f>#REF!-#REF!</f>
        <v>#REF!</v>
      </c>
      <c r="Y25" s="17" t="e">
        <f>#REF!-#REF!</f>
        <v>#REF!</v>
      </c>
      <c r="Z25" s="17" t="e">
        <f>#REF!-#REF!</f>
        <v>#REF!</v>
      </c>
      <c r="AA25" s="17" t="e">
        <f>#REF!-#REF!</f>
        <v>#REF!</v>
      </c>
      <c r="AB25" s="17" t="e">
        <f>#REF!-#REF!</f>
        <v>#REF!</v>
      </c>
      <c r="AC25" s="17" t="e">
        <f>#REF!-#REF!</f>
        <v>#REF!</v>
      </c>
      <c r="AD25" s="17" t="e">
        <f>#REF!-#REF!</f>
        <v>#REF!</v>
      </c>
      <c r="AE25" s="17" t="e">
        <f>#REF!-#REF!</f>
        <v>#REF!</v>
      </c>
      <c r="AF25" s="17" t="e">
        <f>#REF!-#REF!</f>
        <v>#REF!</v>
      </c>
      <c r="AG25" s="17" t="e">
        <f>#REF!-#REF!</f>
        <v>#REF!</v>
      </c>
      <c r="AH25" s="18" t="e">
        <f>SUM(C25:AG25)/DAY(EOMONTH($C$11,0))</f>
        <v>#REF!</v>
      </c>
    </row>
    <row r="26" spans="1:34" ht="18.75" hidden="1" customHeight="1" thickBot="1" x14ac:dyDescent="0.3">
      <c r="A26" s="20">
        <v>10</v>
      </c>
      <c r="B26" s="21" t="s">
        <v>52</v>
      </c>
      <c r="C26" s="22">
        <f>IF(ISERROR(#REF!/C21),0,#REF!/C21)</f>
        <v>0</v>
      </c>
      <c r="D26" s="22">
        <f>IF(ISERROR(#REF!/D21),0,#REF!/D21)</f>
        <v>0</v>
      </c>
      <c r="E26" s="22">
        <f>IF(ISERROR(#REF!/E21),0,#REF!/E21)</f>
        <v>0</v>
      </c>
      <c r="F26" s="22">
        <f>IF(ISERROR(#REF!/F21),0,#REF!/F21)</f>
        <v>0</v>
      </c>
      <c r="G26" s="22">
        <f>IF(ISERROR(#REF!/G21),0,#REF!/G21)</f>
        <v>0</v>
      </c>
      <c r="H26" s="22">
        <f>IF(ISERROR(#REF!/H21),0,#REF!/H21)</f>
        <v>0</v>
      </c>
      <c r="I26" s="22">
        <f>IF(ISERROR(#REF!/I21),0,#REF!/I21)</f>
        <v>0</v>
      </c>
      <c r="J26" s="22">
        <f>IF(ISERROR(#REF!/J21),0,#REF!/J21)</f>
        <v>0</v>
      </c>
      <c r="K26" s="22">
        <f>IF(ISERROR(#REF!/K21),0,#REF!/K21)</f>
        <v>0</v>
      </c>
      <c r="L26" s="22">
        <f>IF(ISERROR(#REF!/L21),0,#REF!/L21)</f>
        <v>0</v>
      </c>
      <c r="M26" s="22">
        <f>IF(ISERROR(#REF!/M21),0,#REF!/M21)</f>
        <v>0</v>
      </c>
      <c r="N26" s="22">
        <f>IF(ISERROR(#REF!/N21),0,#REF!/N21)</f>
        <v>0</v>
      </c>
      <c r="O26" s="22">
        <f>IF(ISERROR(#REF!/O21),0,#REF!/O21)</f>
        <v>0</v>
      </c>
      <c r="P26" s="22">
        <f>IF(ISERROR(#REF!/P21),0,#REF!/P21)</f>
        <v>0</v>
      </c>
      <c r="Q26" s="22">
        <f>IF(ISERROR(#REF!/Q21),0,#REF!/Q21)</f>
        <v>0</v>
      </c>
      <c r="R26" s="22">
        <f>IF(ISERROR(#REF!/R21),0,#REF!/R21)</f>
        <v>0</v>
      </c>
      <c r="S26" s="22">
        <f>IF(ISERROR(#REF!/S21),0,#REF!/S21)</f>
        <v>0</v>
      </c>
      <c r="T26" s="22">
        <f>IF(ISERROR(#REF!/T21),0,#REF!/T21)</f>
        <v>0</v>
      </c>
      <c r="U26" s="22">
        <f>IF(ISERROR(#REF!/U21),0,#REF!/U21)</f>
        <v>0</v>
      </c>
      <c r="V26" s="22">
        <f>IF(ISERROR(#REF!/V21),0,#REF!/V21)</f>
        <v>0</v>
      </c>
      <c r="W26" s="22">
        <f>IF(ISERROR(#REF!/W21),0,#REF!/W21)</f>
        <v>0</v>
      </c>
      <c r="X26" s="22">
        <f>IF(ISERROR(#REF!/X21),0,#REF!/X21)</f>
        <v>0</v>
      </c>
      <c r="Y26" s="22">
        <f>IF(ISERROR(#REF!/Y21),0,#REF!/Y21)</f>
        <v>0</v>
      </c>
      <c r="Z26" s="22">
        <f>IF(ISERROR(#REF!/Z21),0,#REF!/Z21)</f>
        <v>0</v>
      </c>
      <c r="AA26" s="22">
        <f>IF(ISERROR(#REF!/AA21),0,#REF!/AA21)</f>
        <v>0</v>
      </c>
      <c r="AB26" s="22">
        <f>IF(ISERROR(#REF!/AB21),0,#REF!/AB21)</f>
        <v>0</v>
      </c>
      <c r="AC26" s="22">
        <f>IF(ISERROR(#REF!/AC21),0,#REF!/AC21)</f>
        <v>0</v>
      </c>
      <c r="AD26" s="22">
        <f>IF(ISERROR(#REF!/AD21),0,#REF!/AD21)</f>
        <v>0</v>
      </c>
      <c r="AE26" s="22">
        <f>IF(ISERROR(#REF!/AE21),0,#REF!/AE21)</f>
        <v>0</v>
      </c>
      <c r="AF26" s="22">
        <f>IF(ISERROR(#REF!/AF21),0,#REF!/AF21)</f>
        <v>0</v>
      </c>
      <c r="AG26" s="22">
        <f>IF(ISERROR(#REF!/AG21),0,#REF!/AG21)</f>
        <v>0</v>
      </c>
      <c r="AH26" s="23">
        <f>IF(ISERROR(#REF!/AH21),0,#REF!/AH21)</f>
        <v>0</v>
      </c>
    </row>
    <row r="27" spans="1:34" s="24" customFormat="1" ht="15.75" hidden="1" x14ac:dyDescent="0.25">
      <c r="A27" s="29" t="s">
        <v>53</v>
      </c>
      <c r="B27" s="29"/>
      <c r="C27" s="29"/>
      <c r="D27" s="29"/>
      <c r="E27" s="29"/>
      <c r="F27" s="29"/>
      <c r="G27" s="29"/>
      <c r="H27" s="29"/>
      <c r="I27" s="29"/>
      <c r="J27" s="29"/>
      <c r="K27" s="29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  <c r="AG27" s="29"/>
      <c r="AH27" s="29"/>
    </row>
    <row r="28" spans="1:34" s="24" customFormat="1" ht="15.75" customHeight="1" x14ac:dyDescent="0.25">
      <c r="A28" s="29" t="s">
        <v>54</v>
      </c>
      <c r="B28" s="29"/>
      <c r="C28" s="29"/>
      <c r="D28" s="29"/>
      <c r="E28" s="29"/>
      <c r="F28" s="29"/>
      <c r="G28" s="29"/>
      <c r="H28" s="29"/>
      <c r="I28" s="29"/>
      <c r="J28" s="29"/>
      <c r="K28" s="29"/>
      <c r="L28" s="29"/>
      <c r="M28" s="29"/>
      <c r="N28" s="29"/>
      <c r="O28" s="29"/>
      <c r="P28" s="29"/>
      <c r="Q28" s="29"/>
      <c r="R28" s="29"/>
      <c r="S28" s="29"/>
      <c r="T28" s="29"/>
      <c r="U28" s="29"/>
      <c r="V28" s="29"/>
      <c r="W28" s="29"/>
      <c r="X28" s="29"/>
      <c r="Y28" s="29"/>
      <c r="Z28" s="29"/>
      <c r="AA28" s="29"/>
      <c r="AB28" s="29"/>
      <c r="AC28" s="29"/>
      <c r="AD28" s="29"/>
      <c r="AE28" s="29"/>
      <c r="AF28" s="29"/>
      <c r="AG28" s="29"/>
      <c r="AH28" s="29"/>
    </row>
    <row r="29" spans="1:34" ht="15.75" x14ac:dyDescent="0.25">
      <c r="A29" s="25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3"/>
    </row>
    <row r="30" spans="1:34" ht="15.75" x14ac:dyDescent="0.25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</row>
  </sheetData>
  <sheetProtection password="CCE3" sheet="1"/>
  <mergeCells count="8">
    <mergeCell ref="A11:B11"/>
    <mergeCell ref="A27:AH27"/>
    <mergeCell ref="A28:AH28"/>
    <mergeCell ref="A4:K7"/>
    <mergeCell ref="L4:AH7"/>
    <mergeCell ref="A8:B8"/>
    <mergeCell ref="A9:B9"/>
    <mergeCell ref="A10:B10"/>
  </mergeCells>
  <pageMargins left="0.70866141732283505" right="0.70866141732283505" top="0.74803149606299202" bottom="0.74803149606299202" header="0.31496062992126" footer="0.31496062992126"/>
  <pageSetup paperSize="9" scale="41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Abera Ayalew</dc:creator>
  <cp:lastModifiedBy>Abebe Teklu W/Agegnehu</cp:lastModifiedBy>
  <dcterms:created xsi:type="dcterms:W3CDTF">2025-12-31T05:32:56Z</dcterms:created>
  <dcterms:modified xsi:type="dcterms:W3CDTF">2026-08-28T07:23:06Z</dcterms:modified>
</cp:coreProperties>
</file>