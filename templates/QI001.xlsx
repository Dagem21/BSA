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730" windowHeight="11760"/>
  </bookViews>
  <sheets>
    <sheet name="CAP_ADQ_ITEM_QI001" sheetId="1" r:id="rId1"/>
  </sheets>
  <calcPr calcId="124519"/>
</workbook>
</file>

<file path=xl/calcChain.xml><?xml version="1.0" encoding="utf-8"?>
<calcChain xmlns="http://schemas.openxmlformats.org/spreadsheetml/2006/main">
  <c r="E16" i="1"/>
  <c r="C17"/>
  <c r="C33"/>
  <c r="C19"/>
  <c r="C25"/>
  <c r="C22"/>
  <c r="E18"/>
  <c r="E20"/>
  <c r="E21"/>
  <c r="E23"/>
  <c r="E24"/>
  <c r="E26"/>
  <c r="E27"/>
  <c r="E28"/>
  <c r="E29"/>
  <c r="E30"/>
  <c r="E31"/>
  <c r="E32"/>
  <c r="E34"/>
  <c r="E35"/>
  <c r="E36"/>
  <c r="E37"/>
  <c r="E38"/>
  <c r="C39" l="1"/>
  <c r="E39"/>
</calcChain>
</file>

<file path=xl/sharedStrings.xml><?xml version="1.0" encoding="utf-8"?>
<sst xmlns="http://schemas.openxmlformats.org/spreadsheetml/2006/main" count="42" uniqueCount="41">
  <si>
    <t xml:space="preserve">Instiution code </t>
  </si>
  <si>
    <t>Financial Year</t>
  </si>
  <si>
    <t>Start Date</t>
  </si>
  <si>
    <t>Code</t>
  </si>
  <si>
    <t>Amount</t>
  </si>
  <si>
    <t>End Date</t>
  </si>
  <si>
    <t>In Millions of Birr</t>
  </si>
  <si>
    <t>Assets</t>
  </si>
  <si>
    <t>A</t>
  </si>
  <si>
    <t>B</t>
  </si>
  <si>
    <t>C= AxB</t>
  </si>
  <si>
    <t>Cash on hand (local and  foreign currency)</t>
  </si>
  <si>
    <t>Claims on banks</t>
  </si>
  <si>
    <t>NBE</t>
  </si>
  <si>
    <t>Other banks(Domestic &amp; foreign)</t>
  </si>
  <si>
    <t>2.2.1</t>
  </si>
  <si>
    <t>Less than 1 year maturity</t>
  </si>
  <si>
    <t>2.2.2</t>
  </si>
  <si>
    <t>Over 1 year maturity</t>
  </si>
  <si>
    <t>Claims on government</t>
  </si>
  <si>
    <t>Federal government</t>
  </si>
  <si>
    <t>Regional government</t>
  </si>
  <si>
    <t>Loans &amp; advances (net)</t>
  </si>
  <si>
    <t>Secured by cash, federal  government securities or guaranteed by federal government</t>
  </si>
  <si>
    <t>Secured/guaranteed by regional government</t>
  </si>
  <si>
    <t>Residential mortgage loans</t>
  </si>
  <si>
    <t>Others</t>
  </si>
  <si>
    <t>Securities (non-government)</t>
  </si>
  <si>
    <t>Investments</t>
  </si>
  <si>
    <t>Fixed assets (net)</t>
  </si>
  <si>
    <t>Other assets</t>
  </si>
  <si>
    <t>Accounts receivable</t>
  </si>
  <si>
    <t>Supplies stock account</t>
  </si>
  <si>
    <t>Customers’ liabilities for L/C</t>
  </si>
  <si>
    <t>Uncleared effect foreign</t>
  </si>
  <si>
    <t>CAP_ADQ_ITEM_QI001</t>
  </si>
  <si>
    <t xml:space="preserve"> CAPITAL ADEQUACY REPORT - On Balance Sheet </t>
  </si>
  <si>
    <t xml:space="preserve">Weight </t>
  </si>
  <si>
    <t>Risk Weighted Assets</t>
  </si>
  <si>
    <t>Total *</t>
  </si>
  <si>
    <t>* Total Amount on Column "C"  should be equal to total assets on balance sheet</t>
  </si>
</sst>
</file>

<file path=xl/styles.xml><?xml version="1.0" encoding="utf-8"?>
<styleSheet xmlns="http://schemas.openxmlformats.org/spreadsheetml/2006/main">
  <numFmts count="2">
    <numFmt numFmtId="164" formatCode="yyyy\-mm\-dd;@"/>
    <numFmt numFmtId="165" formatCode="#,##0.00_ ;\-#,##0.00\ "/>
  </numFmts>
  <fonts count="7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C0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/>
      <right/>
      <top style="thick">
        <color rgb="FFFF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0" borderId="0" xfId="0" applyFont="1"/>
    <xf numFmtId="0" fontId="0" fillId="0" borderId="0" xfId="0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2" fillId="0" borderId="11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2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39" fontId="2" fillId="0" borderId="20" xfId="0" applyNumberFormat="1" applyFont="1" applyBorder="1" applyAlignment="1">
      <alignment vertical="top" wrapText="1"/>
    </xf>
    <xf numFmtId="0" fontId="5" fillId="0" borderId="25" xfId="0" applyFont="1" applyBorder="1" applyAlignment="1">
      <alignment horizontal="center" vertical="top" wrapText="1"/>
    </xf>
    <xf numFmtId="0" fontId="4" fillId="5" borderId="1" xfId="0" applyFont="1" applyFill="1" applyBorder="1"/>
    <xf numFmtId="39" fontId="2" fillId="3" borderId="14" xfId="0" applyNumberFormat="1" applyFont="1" applyFill="1" applyBorder="1" applyAlignment="1" applyProtection="1">
      <alignment horizontal="right" vertical="top" wrapText="1"/>
      <protection locked="0"/>
    </xf>
    <xf numFmtId="39" fontId="2" fillId="3" borderId="15" xfId="0" applyNumberFormat="1" applyFont="1" applyFill="1" applyBorder="1" applyAlignment="1" applyProtection="1">
      <alignment horizontal="right" vertical="top" wrapText="1"/>
      <protection locked="0"/>
    </xf>
    <xf numFmtId="39" fontId="2" fillId="3" borderId="16" xfId="0" applyNumberFormat="1" applyFont="1" applyFill="1" applyBorder="1" applyAlignment="1" applyProtection="1">
      <alignment horizontal="right" vertical="top" wrapText="1"/>
      <protection locked="0"/>
    </xf>
    <xf numFmtId="49" fontId="4" fillId="4" borderId="1" xfId="0" applyNumberFormat="1" applyFont="1" applyFill="1" applyBorder="1" applyAlignment="1" applyProtection="1">
      <alignment horizontal="right"/>
      <protection locked="0"/>
    </xf>
    <xf numFmtId="164" fontId="4" fillId="4" borderId="1" xfId="0" applyNumberFormat="1" applyFont="1" applyFill="1" applyBorder="1" applyAlignment="1" applyProtection="1">
      <alignment horizontal="right"/>
      <protection locked="0"/>
    </xf>
    <xf numFmtId="0" fontId="1" fillId="4" borderId="1" xfId="0" applyFont="1" applyFill="1" applyBorder="1" applyAlignment="1">
      <alignment horizontal="left"/>
    </xf>
    <xf numFmtId="0" fontId="5" fillId="0" borderId="18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2" fillId="0" borderId="19" xfId="0" applyFont="1" applyBorder="1" applyAlignment="1" applyProtection="1">
      <alignment horizontal="center" vertical="top" wrapText="1"/>
    </xf>
    <xf numFmtId="0" fontId="2" fillId="0" borderId="11" xfId="0" applyFont="1" applyBorder="1" applyAlignment="1" applyProtection="1">
      <alignment vertical="top" wrapText="1"/>
    </xf>
    <xf numFmtId="39" fontId="2" fillId="3" borderId="15" xfId="0" applyNumberFormat="1" applyFont="1" applyFill="1" applyBorder="1" applyAlignment="1" applyProtection="1">
      <alignment horizontal="right" vertical="top" wrapText="1"/>
    </xf>
    <xf numFmtId="0" fontId="2" fillId="0" borderId="12" xfId="0" applyFont="1" applyBorder="1" applyAlignment="1" applyProtection="1">
      <alignment horizontal="center" vertical="top" wrapText="1"/>
    </xf>
    <xf numFmtId="39" fontId="2" fillId="0" borderId="20" xfId="0" applyNumberFormat="1" applyFont="1" applyBorder="1" applyAlignment="1" applyProtection="1">
      <alignment vertical="top" wrapText="1"/>
    </xf>
    <xf numFmtId="0" fontId="0" fillId="0" borderId="0" xfId="0" applyProtection="1"/>
    <xf numFmtId="0" fontId="2" fillId="0" borderId="21" xfId="0" applyFont="1" applyBorder="1" applyAlignment="1" applyProtection="1">
      <alignment horizontal="center" vertical="top" wrapText="1"/>
    </xf>
    <xf numFmtId="0" fontId="5" fillId="0" borderId="22" xfId="0" applyFont="1" applyBorder="1" applyAlignment="1" applyProtection="1">
      <alignment vertical="top" wrapText="1"/>
    </xf>
    <xf numFmtId="165" fontId="2" fillId="0" borderId="23" xfId="0" applyNumberFormat="1" applyFont="1" applyBorder="1" applyAlignment="1" applyProtection="1">
      <alignment horizontal="right" vertical="top" wrapText="1"/>
    </xf>
    <xf numFmtId="0" fontId="2" fillId="0" borderId="22" xfId="0" applyFont="1" applyBorder="1" applyAlignment="1" applyProtection="1">
      <alignment horizontal="right" vertical="top" wrapText="1"/>
    </xf>
    <xf numFmtId="39" fontId="2" fillId="2" borderId="24" xfId="0" applyNumberFormat="1" applyFont="1" applyFill="1" applyBorder="1" applyAlignment="1" applyProtection="1">
      <alignment vertical="top" wrapText="1"/>
    </xf>
    <xf numFmtId="0" fontId="4" fillId="0" borderId="26" xfId="0" applyFont="1" applyBorder="1" applyAlignment="1">
      <alignment horizontal="left" vertical="top"/>
    </xf>
    <xf numFmtId="0" fontId="1" fillId="4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>
      <selection activeCell="I10" sqref="I10"/>
    </sheetView>
  </sheetViews>
  <sheetFormatPr defaultRowHeight="15"/>
  <cols>
    <col min="2" max="2" width="53" customWidth="1"/>
    <col min="3" max="3" width="11.85546875" customWidth="1"/>
    <col min="4" max="4" width="13.85546875" customWidth="1"/>
    <col min="5" max="5" width="18.85546875" customWidth="1"/>
  </cols>
  <sheetData>
    <row r="1" spans="1:5">
      <c r="A1" t="s">
        <v>35</v>
      </c>
    </row>
    <row r="4" spans="1:5">
      <c r="A4" s="34" t="s">
        <v>36</v>
      </c>
      <c r="B4" s="35"/>
      <c r="C4" s="35"/>
      <c r="D4" s="35"/>
      <c r="E4" s="36"/>
    </row>
    <row r="5" spans="1:5">
      <c r="A5" s="37"/>
      <c r="B5" s="38"/>
      <c r="C5" s="38"/>
      <c r="D5" s="38"/>
      <c r="E5" s="39"/>
    </row>
    <row r="6" spans="1:5">
      <c r="A6" s="37"/>
      <c r="B6" s="38"/>
      <c r="C6" s="38"/>
      <c r="D6" s="38"/>
      <c r="E6" s="39"/>
    </row>
    <row r="7" spans="1:5">
      <c r="A7" s="40"/>
      <c r="B7" s="41"/>
      <c r="C7" s="41"/>
      <c r="D7" s="41"/>
      <c r="E7" s="42"/>
    </row>
    <row r="8" spans="1:5">
      <c r="A8" s="3" t="s">
        <v>0</v>
      </c>
      <c r="B8" s="3"/>
      <c r="C8" s="16"/>
      <c r="D8" s="1"/>
      <c r="E8" s="1"/>
    </row>
    <row r="9" spans="1:5">
      <c r="A9" s="18" t="s">
        <v>1</v>
      </c>
      <c r="B9" s="18"/>
      <c r="C9" s="16"/>
      <c r="D9" s="1"/>
      <c r="E9" s="1"/>
    </row>
    <row r="10" spans="1:5">
      <c r="A10" s="33" t="s">
        <v>2</v>
      </c>
      <c r="B10" s="33"/>
      <c r="C10" s="17"/>
      <c r="D10" s="1"/>
      <c r="E10" s="1"/>
    </row>
    <row r="11" spans="1:5">
      <c r="A11" s="33" t="s">
        <v>5</v>
      </c>
      <c r="B11" s="33"/>
      <c r="C11" s="17"/>
      <c r="D11" s="1"/>
      <c r="E11" s="1"/>
    </row>
    <row r="12" spans="1:5">
      <c r="A12" s="2"/>
      <c r="B12" s="2"/>
    </row>
    <row r="13" spans="1:5" ht="15.75" thickBot="1">
      <c r="E13" s="12" t="s">
        <v>6</v>
      </c>
    </row>
    <row r="14" spans="1:5" ht="32.25" thickTop="1">
      <c r="A14" s="43" t="s">
        <v>3</v>
      </c>
      <c r="B14" s="45" t="s">
        <v>7</v>
      </c>
      <c r="C14" s="19" t="s">
        <v>4</v>
      </c>
      <c r="D14" s="19" t="s">
        <v>37</v>
      </c>
      <c r="E14" s="11" t="s">
        <v>38</v>
      </c>
    </row>
    <row r="15" spans="1:5" ht="16.5" thickBot="1">
      <c r="A15" s="44"/>
      <c r="B15" s="46"/>
      <c r="C15" s="7" t="s">
        <v>8</v>
      </c>
      <c r="D15" s="20" t="s">
        <v>9</v>
      </c>
      <c r="E15" s="8" t="s">
        <v>10</v>
      </c>
    </row>
    <row r="16" spans="1:5" ht="15.75">
      <c r="A16" s="9">
        <v>1</v>
      </c>
      <c r="B16" s="4" t="s">
        <v>11</v>
      </c>
      <c r="C16" s="13"/>
      <c r="D16" s="6">
        <v>0</v>
      </c>
      <c r="E16" s="10">
        <f>C16*D16</f>
        <v>0</v>
      </c>
    </row>
    <row r="17" spans="1:5" s="26" customFormat="1" ht="15.75">
      <c r="A17" s="21">
        <v>2</v>
      </c>
      <c r="B17" s="22" t="s">
        <v>12</v>
      </c>
      <c r="C17" s="23">
        <f>C18+C19</f>
        <v>0</v>
      </c>
      <c r="D17" s="24"/>
      <c r="E17" s="25"/>
    </row>
    <row r="18" spans="1:5" ht="15.75">
      <c r="A18" s="9">
        <v>2.1</v>
      </c>
      <c r="B18" s="4" t="s">
        <v>13</v>
      </c>
      <c r="C18" s="14"/>
      <c r="D18" s="6">
        <v>0</v>
      </c>
      <c r="E18" s="10">
        <f t="shared" ref="E18:E38" si="0">C18*D18</f>
        <v>0</v>
      </c>
    </row>
    <row r="19" spans="1:5" s="26" customFormat="1" ht="15.75">
      <c r="A19" s="21">
        <v>2.2000000000000002</v>
      </c>
      <c r="B19" s="22" t="s">
        <v>14</v>
      </c>
      <c r="C19" s="23">
        <f>C20+C21</f>
        <v>0</v>
      </c>
      <c r="D19" s="24"/>
      <c r="E19" s="25"/>
    </row>
    <row r="20" spans="1:5" ht="15.75">
      <c r="A20" s="9" t="s">
        <v>15</v>
      </c>
      <c r="B20" s="4" t="s">
        <v>16</v>
      </c>
      <c r="C20" s="14"/>
      <c r="D20" s="6">
        <v>0.2</v>
      </c>
      <c r="E20" s="10">
        <f t="shared" si="0"/>
        <v>0</v>
      </c>
    </row>
    <row r="21" spans="1:5" ht="15.75">
      <c r="A21" s="9" t="s">
        <v>17</v>
      </c>
      <c r="B21" s="4" t="s">
        <v>18</v>
      </c>
      <c r="C21" s="14"/>
      <c r="D21" s="6">
        <v>1</v>
      </c>
      <c r="E21" s="10">
        <f t="shared" si="0"/>
        <v>0</v>
      </c>
    </row>
    <row r="22" spans="1:5" s="26" customFormat="1" ht="15.75">
      <c r="A22" s="21">
        <v>3</v>
      </c>
      <c r="B22" s="22" t="s">
        <v>19</v>
      </c>
      <c r="C22" s="23">
        <f>C23+C24</f>
        <v>0</v>
      </c>
      <c r="D22" s="24"/>
      <c r="E22" s="25"/>
    </row>
    <row r="23" spans="1:5" ht="15.75">
      <c r="A23" s="9">
        <v>3.1</v>
      </c>
      <c r="B23" s="4" t="s">
        <v>20</v>
      </c>
      <c r="C23" s="14"/>
      <c r="D23" s="6">
        <v>0</v>
      </c>
      <c r="E23" s="10">
        <f t="shared" si="0"/>
        <v>0</v>
      </c>
    </row>
    <row r="24" spans="1:5" ht="15.75">
      <c r="A24" s="9">
        <v>3.2</v>
      </c>
      <c r="B24" s="4" t="s">
        <v>21</v>
      </c>
      <c r="C24" s="14"/>
      <c r="D24" s="6">
        <v>0.2</v>
      </c>
      <c r="E24" s="10">
        <f t="shared" si="0"/>
        <v>0</v>
      </c>
    </row>
    <row r="25" spans="1:5" s="26" customFormat="1" ht="15.75">
      <c r="A25" s="21">
        <v>4</v>
      </c>
      <c r="B25" s="22" t="s">
        <v>22</v>
      </c>
      <c r="C25" s="23">
        <f>C26+C27+C28+C29</f>
        <v>0</v>
      </c>
      <c r="D25" s="24"/>
      <c r="E25" s="25"/>
    </row>
    <row r="26" spans="1:5" ht="31.5">
      <c r="A26" s="9">
        <v>4.0999999999999996</v>
      </c>
      <c r="B26" s="5" t="s">
        <v>23</v>
      </c>
      <c r="C26" s="14"/>
      <c r="D26" s="6">
        <v>0</v>
      </c>
      <c r="E26" s="10">
        <f t="shared" si="0"/>
        <v>0</v>
      </c>
    </row>
    <row r="27" spans="1:5" ht="15.75">
      <c r="A27" s="9">
        <v>4.2</v>
      </c>
      <c r="B27" s="4" t="s">
        <v>24</v>
      </c>
      <c r="C27" s="14"/>
      <c r="D27" s="6">
        <v>0.2</v>
      </c>
      <c r="E27" s="10">
        <f t="shared" si="0"/>
        <v>0</v>
      </c>
    </row>
    <row r="28" spans="1:5" ht="15.75">
      <c r="A28" s="9">
        <v>4.3</v>
      </c>
      <c r="B28" s="4" t="s">
        <v>25</v>
      </c>
      <c r="C28" s="14"/>
      <c r="D28" s="6">
        <v>0.5</v>
      </c>
      <c r="E28" s="10">
        <f t="shared" si="0"/>
        <v>0</v>
      </c>
    </row>
    <row r="29" spans="1:5" ht="15.75">
      <c r="A29" s="9">
        <v>4.4000000000000004</v>
      </c>
      <c r="B29" s="4" t="s">
        <v>26</v>
      </c>
      <c r="C29" s="14"/>
      <c r="D29" s="6">
        <v>1</v>
      </c>
      <c r="E29" s="10">
        <f t="shared" si="0"/>
        <v>0</v>
      </c>
    </row>
    <row r="30" spans="1:5" ht="15.75">
      <c r="A30" s="9">
        <v>5</v>
      </c>
      <c r="B30" s="4" t="s">
        <v>27</v>
      </c>
      <c r="C30" s="14"/>
      <c r="D30" s="6">
        <v>1</v>
      </c>
      <c r="E30" s="10">
        <f t="shared" si="0"/>
        <v>0</v>
      </c>
    </row>
    <row r="31" spans="1:5" ht="15.75">
      <c r="A31" s="9">
        <v>6</v>
      </c>
      <c r="B31" s="4" t="s">
        <v>28</v>
      </c>
      <c r="C31" s="14"/>
      <c r="D31" s="6">
        <v>1</v>
      </c>
      <c r="E31" s="10">
        <f t="shared" si="0"/>
        <v>0</v>
      </c>
    </row>
    <row r="32" spans="1:5" ht="15.75">
      <c r="A32" s="9">
        <v>7</v>
      </c>
      <c r="B32" s="4" t="s">
        <v>29</v>
      </c>
      <c r="C32" s="14"/>
      <c r="D32" s="6">
        <v>1</v>
      </c>
      <c r="E32" s="10">
        <f t="shared" si="0"/>
        <v>0</v>
      </c>
    </row>
    <row r="33" spans="1:5" s="26" customFormat="1" ht="15.75">
      <c r="A33" s="21">
        <v>8</v>
      </c>
      <c r="B33" s="22" t="s">
        <v>30</v>
      </c>
      <c r="C33" s="23">
        <f>C34+C35+C36+C37+C38</f>
        <v>0</v>
      </c>
      <c r="D33" s="24"/>
      <c r="E33" s="25"/>
    </row>
    <row r="34" spans="1:5" ht="15.75">
      <c r="A34" s="9">
        <v>8.1</v>
      </c>
      <c r="B34" s="4" t="s">
        <v>31</v>
      </c>
      <c r="C34" s="14"/>
      <c r="D34" s="6">
        <v>1</v>
      </c>
      <c r="E34" s="10">
        <f t="shared" si="0"/>
        <v>0</v>
      </c>
    </row>
    <row r="35" spans="1:5" ht="15.75">
      <c r="A35" s="9">
        <v>8.1999999999999993</v>
      </c>
      <c r="B35" s="4" t="s">
        <v>32</v>
      </c>
      <c r="C35" s="14"/>
      <c r="D35" s="6">
        <v>1</v>
      </c>
      <c r="E35" s="10">
        <f t="shared" si="0"/>
        <v>0</v>
      </c>
    </row>
    <row r="36" spans="1:5" ht="15.75">
      <c r="A36" s="9">
        <v>8.3000000000000007</v>
      </c>
      <c r="B36" s="4" t="s">
        <v>33</v>
      </c>
      <c r="C36" s="14"/>
      <c r="D36" s="6">
        <v>0</v>
      </c>
      <c r="E36" s="10">
        <f t="shared" si="0"/>
        <v>0</v>
      </c>
    </row>
    <row r="37" spans="1:5" ht="15.75">
      <c r="A37" s="9">
        <v>8.4</v>
      </c>
      <c r="B37" s="4" t="s">
        <v>34</v>
      </c>
      <c r="C37" s="14"/>
      <c r="D37" s="6">
        <v>1</v>
      </c>
      <c r="E37" s="10">
        <f t="shared" si="0"/>
        <v>0</v>
      </c>
    </row>
    <row r="38" spans="1:5" ht="16.5" thickBot="1">
      <c r="A38" s="9">
        <v>8.5</v>
      </c>
      <c r="B38" s="4" t="s">
        <v>26</v>
      </c>
      <c r="C38" s="15"/>
      <c r="D38" s="6">
        <v>1</v>
      </c>
      <c r="E38" s="10">
        <f t="shared" si="0"/>
        <v>0</v>
      </c>
    </row>
    <row r="39" spans="1:5" s="26" customFormat="1" ht="16.5" thickBot="1">
      <c r="A39" s="27">
        <v>9</v>
      </c>
      <c r="B39" s="28" t="s">
        <v>39</v>
      </c>
      <c r="C39" s="29">
        <f>SUM(C16+C17+C22+C25+C30+C31+C32+C33)</f>
        <v>0</v>
      </c>
      <c r="D39" s="30"/>
      <c r="E39" s="31">
        <f>SUM(E16:E38)</f>
        <v>0</v>
      </c>
    </row>
    <row r="40" spans="1:5" ht="15.75" thickTop="1">
      <c r="A40" s="32" t="s">
        <v>40</v>
      </c>
      <c r="B40" s="32"/>
      <c r="C40" s="32"/>
      <c r="D40" s="32"/>
      <c r="E40" s="32"/>
    </row>
  </sheetData>
  <sheetProtection password="CF68" sheet="1" objects="1" scenarios="1"/>
  <mergeCells count="6">
    <mergeCell ref="A40:E40"/>
    <mergeCell ref="A10:B10"/>
    <mergeCell ref="A11:B11"/>
    <mergeCell ref="A4:E7"/>
    <mergeCell ref="A14:A15"/>
    <mergeCell ref="B14:B15"/>
  </mergeCells>
  <pageMargins left="0.70866141732283472" right="0.33" top="0.74803149606299213" bottom="0.74803149606299213" header="0.31496062992125984" footer="0.31496062992125984"/>
  <pageSetup scale="85" orientation="portrait" r:id="rId1"/>
  <ignoredErrors>
    <ignoredError sqref="C22 C2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CAP_ADQ_ITEM_QI001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Armando da Silva</dc:creator>
  <cp:lastModifiedBy>sibhatm</cp:lastModifiedBy>
  <cp:lastPrinted>2021-07-08T07:12:17Z</cp:lastPrinted>
  <dcterms:created xsi:type="dcterms:W3CDTF">2016-05-25T14:57:47Z</dcterms:created>
  <dcterms:modified xsi:type="dcterms:W3CDTF">2021-07-08T08:20:46Z</dcterms:modified>
</cp:coreProperties>
</file>