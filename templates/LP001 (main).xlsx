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indows.old\Users\Ermiassolomong\Documents\Old Pc Document\CBE Data\September 2026\"/>
    </mc:Choice>
  </mc:AlternateContent>
  <bookViews>
    <workbookView xWindow="0" yWindow="0" windowWidth="28800" windowHeight="12330"/>
  </bookViews>
  <sheets>
    <sheet name="LOAN_CLA&amp;PROV_LP00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8" i="1" l="1"/>
  <c r="C28" i="1"/>
  <c r="D28" i="1"/>
  <c r="J33" i="1"/>
  <c r="J38" i="1"/>
  <c r="J27" i="1" l="1"/>
  <c r="F45" i="1"/>
  <c r="G45" i="1" s="1"/>
  <c r="I45" i="1" s="1"/>
  <c r="K45" i="1" s="1"/>
  <c r="F46" i="1"/>
  <c r="G46" i="1" s="1"/>
  <c r="I46" i="1" s="1"/>
  <c r="K46" i="1" s="1"/>
  <c r="F47" i="1"/>
  <c r="G47" i="1" s="1"/>
  <c r="I47" i="1" s="1"/>
  <c r="K47" i="1" s="1"/>
  <c r="F44" i="1"/>
  <c r="G44" i="1" s="1"/>
  <c r="I44" i="1" s="1"/>
  <c r="K44" i="1" s="1"/>
  <c r="F40" i="1"/>
  <c r="G40" i="1" s="1"/>
  <c r="I40" i="1" s="1"/>
  <c r="K40" i="1" s="1"/>
  <c r="F41" i="1"/>
  <c r="G41" i="1" s="1"/>
  <c r="I41" i="1" s="1"/>
  <c r="K41" i="1" s="1"/>
  <c r="F42" i="1"/>
  <c r="G42" i="1" s="1"/>
  <c r="I42" i="1" s="1"/>
  <c r="K42" i="1" s="1"/>
  <c r="F39" i="1"/>
  <c r="G39" i="1" s="1"/>
  <c r="I39" i="1" s="1"/>
  <c r="K39" i="1" s="1"/>
  <c r="F34" i="1"/>
  <c r="G34" i="1" s="1"/>
  <c r="I34" i="1" s="1"/>
  <c r="K34" i="1" s="1"/>
  <c r="F35" i="1"/>
  <c r="G35" i="1" s="1"/>
  <c r="I35" i="1" s="1"/>
  <c r="K35" i="1" s="1"/>
  <c r="F36" i="1"/>
  <c r="G36" i="1" s="1"/>
  <c r="I36" i="1" s="1"/>
  <c r="K36" i="1" s="1"/>
  <c r="F37" i="1"/>
  <c r="G37" i="1" s="1"/>
  <c r="I37" i="1" s="1"/>
  <c r="K37" i="1" s="1"/>
  <c r="F32" i="1"/>
  <c r="G32" i="1" s="1"/>
  <c r="I32" i="1" s="1"/>
  <c r="K32" i="1" s="1"/>
  <c r="F29" i="1"/>
  <c r="G29" i="1" s="1"/>
  <c r="I29" i="1" s="1"/>
  <c r="K29" i="1" s="1"/>
  <c r="F30" i="1"/>
  <c r="G30" i="1" s="1"/>
  <c r="I30" i="1" s="1"/>
  <c r="K30" i="1" s="1"/>
  <c r="F31" i="1"/>
  <c r="G31" i="1" s="1"/>
  <c r="I31" i="1" s="1"/>
  <c r="K31" i="1" s="1"/>
  <c r="D43" i="1"/>
  <c r="E43" i="1"/>
  <c r="D38" i="1"/>
  <c r="E38" i="1"/>
  <c r="E33" i="1"/>
  <c r="D33" i="1"/>
  <c r="D27" i="1" s="1"/>
  <c r="E28" i="1"/>
  <c r="F28" i="1" s="1"/>
  <c r="G28" i="1" s="1"/>
  <c r="I28" i="1" s="1"/>
  <c r="K28" i="1" s="1"/>
  <c r="C43" i="1"/>
  <c r="C38" i="1"/>
  <c r="C33" i="1"/>
  <c r="C27" i="1" s="1"/>
  <c r="J43" i="1"/>
  <c r="J22" i="1"/>
  <c r="J17" i="1"/>
  <c r="F24" i="1"/>
  <c r="G24" i="1" s="1"/>
  <c r="I24" i="1" s="1"/>
  <c r="K24" i="1" s="1"/>
  <c r="F25" i="1"/>
  <c r="G25" i="1" s="1"/>
  <c r="I25" i="1" s="1"/>
  <c r="K25" i="1" s="1"/>
  <c r="F26" i="1"/>
  <c r="G26" i="1" s="1"/>
  <c r="I26" i="1" s="1"/>
  <c r="K26" i="1" s="1"/>
  <c r="F23" i="1"/>
  <c r="G23" i="1" s="1"/>
  <c r="I23" i="1" s="1"/>
  <c r="K23" i="1" s="1"/>
  <c r="D22" i="1"/>
  <c r="E22" i="1"/>
  <c r="C22" i="1"/>
  <c r="E17" i="1"/>
  <c r="F19" i="1"/>
  <c r="G19" i="1" s="1"/>
  <c r="I19" i="1" s="1"/>
  <c r="K19" i="1" s="1"/>
  <c r="F20" i="1"/>
  <c r="G20" i="1" s="1"/>
  <c r="I20" i="1" s="1"/>
  <c r="K20" i="1" s="1"/>
  <c r="F21" i="1"/>
  <c r="G21" i="1" s="1"/>
  <c r="I21" i="1" s="1"/>
  <c r="K21" i="1" s="1"/>
  <c r="F18" i="1"/>
  <c r="G18" i="1" s="1"/>
  <c r="I18" i="1" s="1"/>
  <c r="K18" i="1" s="1"/>
  <c r="D17" i="1"/>
  <c r="C17" i="1"/>
  <c r="F22" i="1" l="1"/>
  <c r="G22" i="1" s="1"/>
  <c r="I22" i="1" s="1"/>
  <c r="K22" i="1" s="1"/>
  <c r="J49" i="1"/>
  <c r="D49" i="1"/>
  <c r="F43" i="1"/>
  <c r="G43" i="1" s="1"/>
  <c r="I43" i="1" s="1"/>
  <c r="K43" i="1" s="1"/>
  <c r="D48" i="1"/>
  <c r="F17" i="1"/>
  <c r="G17" i="1" s="1"/>
  <c r="I17" i="1" s="1"/>
  <c r="K17" i="1" s="1"/>
  <c r="F33" i="1"/>
  <c r="G33" i="1" s="1"/>
  <c r="F38" i="1"/>
  <c r="G38" i="1" s="1"/>
  <c r="I38" i="1" s="1"/>
  <c r="K38" i="1" s="1"/>
  <c r="J48" i="1"/>
  <c r="J51" i="1"/>
  <c r="C48" i="1"/>
  <c r="E27" i="1"/>
  <c r="I33" i="1" l="1"/>
  <c r="K33" i="1" s="1"/>
  <c r="F27" i="1"/>
  <c r="G27" i="1" s="1"/>
  <c r="I27" i="1" s="1"/>
  <c r="E49" i="1"/>
  <c r="F49" i="1" s="1"/>
  <c r="E48" i="1"/>
  <c r="F48" i="1" s="1"/>
  <c r="G48" i="1" s="1"/>
  <c r="C49" i="1"/>
  <c r="K27" i="1" l="1"/>
  <c r="I49" i="1"/>
  <c r="I48" i="1"/>
  <c r="K48" i="1" s="1"/>
  <c r="G49" i="1"/>
  <c r="C50" i="1"/>
  <c r="K49" i="1" l="1"/>
</calcChain>
</file>

<file path=xl/sharedStrings.xml><?xml version="1.0" encoding="utf-8"?>
<sst xmlns="http://schemas.openxmlformats.org/spreadsheetml/2006/main" count="73" uniqueCount="63">
  <si>
    <t>LOAN_CLA&amp;PROV_LP001</t>
  </si>
  <si>
    <t>Loan Classification and Provisioning</t>
  </si>
  <si>
    <t xml:space="preserve">Instiution Code </t>
  </si>
  <si>
    <t>Financial Year</t>
  </si>
  <si>
    <t>Start Date</t>
  </si>
  <si>
    <t>End Date</t>
  </si>
  <si>
    <t>Amount in Millions of Birr</t>
  </si>
  <si>
    <t>Code</t>
  </si>
  <si>
    <t>Loan classification</t>
  </si>
  <si>
    <t>Deductible collateral</t>
  </si>
  <si>
    <t>Provisioning rate</t>
  </si>
  <si>
    <t xml:space="preserve">Required provision </t>
  </si>
  <si>
    <t>Accumulated provision held in the previous period</t>
  </si>
  <si>
    <t>Excess/shortfall in provisions</t>
  </si>
  <si>
    <t>Amount</t>
  </si>
  <si>
    <t>Cash/cash substitute</t>
  </si>
  <si>
    <t>Net recoverable value</t>
  </si>
  <si>
    <t xml:space="preserve">Total </t>
  </si>
  <si>
    <t>Net loans and advances</t>
  </si>
  <si>
    <t>A</t>
  </si>
  <si>
    <t>B</t>
  </si>
  <si>
    <t>C</t>
  </si>
  <si>
    <t>D=B+C</t>
  </si>
  <si>
    <t>E=A-D</t>
  </si>
  <si>
    <t>F</t>
  </si>
  <si>
    <t>G=ExF</t>
  </si>
  <si>
    <t>H</t>
  </si>
  <si>
    <t>I=H-G</t>
  </si>
  <si>
    <t>Pass (Sum 1.1-1.4)</t>
  </si>
  <si>
    <t>1.1 Term loan</t>
  </si>
  <si>
    <t>1.2 Overdraft</t>
  </si>
  <si>
    <t>1.3 Merchandize</t>
  </si>
  <si>
    <t>1.4 others</t>
  </si>
  <si>
    <t>Special mention (Sum 2.1-2.4)</t>
  </si>
  <si>
    <t>Term loan</t>
  </si>
  <si>
    <t xml:space="preserve"> Overdraft</t>
  </si>
  <si>
    <t>Merchandize</t>
  </si>
  <si>
    <t>others</t>
  </si>
  <si>
    <t>Substandard (3.1+3.2)</t>
  </si>
  <si>
    <t>Renegotiated (Sum 3.1.1-3.1.4)</t>
  </si>
  <si>
    <t>3.1.1</t>
  </si>
  <si>
    <t>3.1.2</t>
  </si>
  <si>
    <t>3.1.3</t>
  </si>
  <si>
    <t>3.1.4</t>
  </si>
  <si>
    <t xml:space="preserve"> Others</t>
  </si>
  <si>
    <t>3.2.1</t>
  </si>
  <si>
    <t>3.2.2</t>
  </si>
  <si>
    <t>Overdraft</t>
  </si>
  <si>
    <t>3.2.3</t>
  </si>
  <si>
    <t>3.2.4</t>
  </si>
  <si>
    <t>Doubtful (Sum 4.1-4.4)</t>
  </si>
  <si>
    <t xml:space="preserve"> Term loan</t>
  </si>
  <si>
    <t xml:space="preserve"> Merchandize</t>
  </si>
  <si>
    <t>Others</t>
  </si>
  <si>
    <t>Loss loans (Sum 5.1-5.4)</t>
  </si>
  <si>
    <t>Total Non Performing (Sum 3-5)</t>
  </si>
  <si>
    <t>Total_Accumulated provision held in the previous period</t>
  </si>
  <si>
    <t xml:space="preserve">Term loan </t>
  </si>
  <si>
    <t>Non-Renegotiated (Sum 3.2.1-3.2.4)</t>
  </si>
  <si>
    <t>Total Loans and Advances (Sum 1-5)</t>
  </si>
  <si>
    <t>NPLs Ratio(7/6)</t>
  </si>
  <si>
    <t>0000001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</si>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</sst>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0.00_);\(0.00\)"/>
    <numFmt numFmtId="166" formatCode="[$-10452]yyyy\-mm\-dd;@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 style="thick">
        <color rgb="FFFF0000"/>
      </top>
      <bottom/>
      <diagonal/>
    </border>
    <border>
      <left/>
      <right style="medium">
        <color indexed="64"/>
      </right>
      <top style="thick">
        <color rgb="FFFF0000"/>
      </top>
      <bottom/>
      <diagonal/>
    </border>
    <border>
      <left style="medium">
        <color indexed="64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/>
      <right style="medium">
        <color indexed="6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4" fillId="0" borderId="6" xfId="0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39" fontId="4" fillId="0" borderId="22" xfId="0" applyNumberFormat="1" applyFont="1" applyBorder="1" applyAlignment="1">
      <alignment vertical="top" wrapText="1"/>
    </xf>
    <xf numFmtId="39" fontId="4" fillId="0" borderId="7" xfId="0" applyNumberFormat="1" applyFont="1" applyBorder="1" applyAlignment="1">
      <alignment vertical="top" wrapText="1"/>
    </xf>
    <xf numFmtId="39" fontId="4" fillId="0" borderId="9" xfId="0" applyNumberFormat="1" applyFont="1" applyBorder="1" applyAlignment="1">
      <alignment vertical="top" wrapText="1"/>
    </xf>
    <xf numFmtId="39" fontId="0" fillId="0" borderId="0" xfId="0" applyNumberFormat="1"/>
    <xf numFmtId="0" fontId="4" fillId="0" borderId="26" xfId="0" applyFont="1" applyFill="1" applyBorder="1" applyAlignment="1">
      <alignment vertical="top" wrapText="1"/>
    </xf>
    <xf numFmtId="0" fontId="4" fillId="0" borderId="37" xfId="0" applyFont="1" applyBorder="1" applyAlignment="1">
      <alignment horizontal="right" vertical="top" wrapText="1"/>
    </xf>
    <xf numFmtId="0" fontId="4" fillId="0" borderId="38" xfId="0" applyFont="1" applyBorder="1" applyAlignment="1">
      <alignment horizontal="right" vertical="top" wrapText="1"/>
    </xf>
    <xf numFmtId="39" fontId="4" fillId="0" borderId="39" xfId="0" applyNumberFormat="1" applyFont="1" applyBorder="1" applyAlignment="1">
      <alignment vertical="top" wrapText="1"/>
    </xf>
    <xf numFmtId="0" fontId="4" fillId="0" borderId="40" xfId="0" applyFont="1" applyBorder="1" applyAlignment="1">
      <alignment horizontal="right" vertical="top" wrapText="1"/>
    </xf>
    <xf numFmtId="0" fontId="4" fillId="0" borderId="41" xfId="0" applyFont="1" applyBorder="1" applyAlignment="1">
      <alignment horizontal="right" vertical="top" wrapText="1"/>
    </xf>
    <xf numFmtId="39" fontId="4" fillId="0" borderId="42" xfId="0" applyNumberFormat="1" applyFont="1" applyBorder="1" applyAlignment="1">
      <alignment vertical="top" wrapText="1"/>
    </xf>
    <xf numFmtId="0" fontId="4" fillId="0" borderId="43" xfId="0" applyFont="1" applyBorder="1" applyAlignment="1">
      <alignment horizontal="right" vertical="top" wrapText="1"/>
    </xf>
    <xf numFmtId="0" fontId="4" fillId="0" borderId="44" xfId="0" applyFont="1" applyBorder="1" applyAlignment="1">
      <alignment vertical="top" wrapText="1"/>
    </xf>
    <xf numFmtId="39" fontId="4" fillId="0" borderId="44" xfId="0" applyNumberFormat="1" applyFont="1" applyBorder="1" applyAlignment="1">
      <alignment vertical="top" wrapText="1"/>
    </xf>
    <xf numFmtId="39" fontId="4" fillId="0" borderId="45" xfId="0" applyNumberFormat="1" applyFont="1" applyBorder="1" applyAlignment="1">
      <alignment vertical="top" wrapText="1"/>
    </xf>
    <xf numFmtId="39" fontId="4" fillId="0" borderId="6" xfId="0" applyNumberFormat="1" applyFont="1" applyBorder="1" applyAlignment="1">
      <alignment vertical="top" wrapText="1"/>
    </xf>
    <xf numFmtId="39" fontId="4" fillId="0" borderId="26" xfId="0" applyNumberFormat="1" applyFont="1" applyBorder="1" applyAlignment="1">
      <alignment vertical="top" wrapText="1"/>
    </xf>
    <xf numFmtId="39" fontId="4" fillId="0" borderId="36" xfId="0" applyNumberFormat="1" applyFont="1" applyBorder="1" applyAlignment="1">
      <alignment vertical="top" wrapText="1"/>
    </xf>
    <xf numFmtId="39" fontId="1" fillId="4" borderId="25" xfId="0" applyNumberFormat="1" applyFont="1" applyFill="1" applyBorder="1"/>
    <xf numFmtId="39" fontId="4" fillId="5" borderId="9" xfId="0" applyNumberFormat="1" applyFont="1" applyFill="1" applyBorder="1" applyAlignment="1">
      <alignment vertical="top" wrapText="1"/>
    </xf>
    <xf numFmtId="165" fontId="4" fillId="0" borderId="44" xfId="0" applyNumberFormat="1" applyFont="1" applyBorder="1" applyAlignment="1">
      <alignment horizontal="center" vertical="top" wrapText="1"/>
    </xf>
    <xf numFmtId="39" fontId="4" fillId="0" borderId="9" xfId="0" applyNumberFormat="1" applyFont="1" applyFill="1" applyBorder="1" applyAlignment="1">
      <alignment vertical="top" wrapText="1"/>
    </xf>
    <xf numFmtId="39" fontId="4" fillId="0" borderId="26" xfId="0" applyNumberFormat="1" applyFont="1" applyBorder="1" applyAlignment="1">
      <alignment horizontal="center" vertical="top" wrapText="1"/>
    </xf>
    <xf numFmtId="39" fontId="4" fillId="0" borderId="9" xfId="0" applyNumberFormat="1" applyFont="1" applyBorder="1" applyAlignment="1">
      <alignment horizontal="center" vertical="top" wrapText="1"/>
    </xf>
    <xf numFmtId="39" fontId="4" fillId="0" borderId="23" xfId="0" applyNumberFormat="1" applyFont="1" applyBorder="1" applyAlignment="1">
      <alignment horizontal="center" vertical="top" wrapText="1"/>
    </xf>
    <xf numFmtId="39" fontId="4" fillId="0" borderId="22" xfId="0" applyNumberFormat="1" applyFont="1" applyBorder="1" applyAlignment="1">
      <alignment horizontal="center" vertical="top" wrapText="1"/>
    </xf>
    <xf numFmtId="39" fontId="4" fillId="0" borderId="50" xfId="0" applyNumberFormat="1" applyFont="1" applyBorder="1" applyAlignment="1">
      <alignment vertical="top" wrapText="1"/>
    </xf>
    <xf numFmtId="39" fontId="4" fillId="0" borderId="51" xfId="0" applyNumberFormat="1" applyFont="1" applyBorder="1" applyAlignment="1">
      <alignment vertical="top" wrapText="1"/>
    </xf>
    <xf numFmtId="39" fontId="4" fillId="0" borderId="22" xfId="0" applyNumberFormat="1" applyFont="1" applyFill="1" applyBorder="1" applyAlignment="1">
      <alignment vertical="top" wrapText="1"/>
    </xf>
    <xf numFmtId="39" fontId="4" fillId="0" borderId="9" xfId="0" applyNumberFormat="1" applyFont="1" applyBorder="1" applyAlignment="1" applyProtection="1">
      <alignment vertical="top" wrapText="1"/>
      <protection locked="0"/>
    </xf>
    <xf numFmtId="39" fontId="4" fillId="0" borderId="23" xfId="0" applyNumberFormat="1" applyFont="1" applyBorder="1" applyAlignment="1" applyProtection="1">
      <alignment vertical="top" wrapText="1"/>
      <protection locked="0"/>
    </xf>
    <xf numFmtId="0" fontId="6" fillId="2" borderId="14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4" fillId="2" borderId="48" xfId="0" applyFont="1" applyFill="1" applyBorder="1" applyAlignment="1">
      <alignment horizontal="center" vertical="top" wrapText="1"/>
    </xf>
    <xf numFmtId="0" fontId="4" fillId="2" borderId="49" xfId="0" applyFont="1" applyFill="1" applyBorder="1" applyAlignment="1">
      <alignment horizontal="center" vertical="top" wrapText="1"/>
    </xf>
    <xf numFmtId="49" fontId="6" fillId="6" borderId="9" xfId="0" applyNumberFormat="1" applyFont="1" applyFill="1" applyBorder="1" applyProtection="1">
      <protection locked="0"/>
    </xf>
    <xf numFmtId="166" fontId="6" fillId="6" borderId="9" xfId="0" applyNumberFormat="1" applyFont="1" applyFill="1" applyBorder="1" applyProtection="1">
      <protection locked="0"/>
    </xf>
    <xf numFmtId="167" fontId="8" fillId="7" borderId="52" xfId="1" applyNumberFormat="1" applyFont="1" applyFill="1" applyBorder="1" applyAlignment="1" applyProtection="1">
      <alignment horizontal="center"/>
      <protection locked="0"/>
    </xf>
    <xf numFmtId="167" fontId="8" fillId="7" borderId="9" xfId="1" applyNumberFormat="1" applyFont="1" applyFill="1" applyBorder="1" applyAlignment="1" applyProtection="1">
      <alignment horizontal="center"/>
      <protection locked="0"/>
    </xf>
    <xf numFmtId="0" fontId="3" fillId="2" borderId="33" xfId="0" applyFont="1" applyFill="1" applyBorder="1" applyAlignment="1">
      <alignment vertical="top" wrapText="1"/>
    </xf>
    <xf numFmtId="0" fontId="3" fillId="2" borderId="35" xfId="0" applyFont="1" applyFill="1" applyBorder="1" applyAlignment="1">
      <alignment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2" borderId="46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47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vertical="top" wrapText="1"/>
    </xf>
    <xf numFmtId="0" fontId="3" fillId="2" borderId="20" xfId="0" applyFont="1" applyFill="1" applyBorder="1" applyAlignment="1">
      <alignment vertical="top" wrapText="1"/>
    </xf>
    <xf numFmtId="0" fontId="3" fillId="2" borderId="21" xfId="0" applyFont="1" applyFill="1" applyBorder="1" applyAlignment="1">
      <alignment horizontal="center" vertical="top" wrapText="1"/>
    </xf>
    <xf numFmtId="0" fontId="2" fillId="3" borderId="2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A25" zoomScale="110" zoomScaleNormal="110" workbookViewId="0">
      <selection activeCell="J44" sqref="J44:J47"/>
    </sheetView>
  </sheetViews>
  <sheetFormatPr defaultRowHeight="15" x14ac:dyDescent="0.25"/>
  <cols>
    <col min="2" max="2" width="28.5703125" customWidth="1"/>
    <col min="3" max="3" width="12.140625" bestFit="1" customWidth="1"/>
    <col min="4" max="4" width="10.85546875" customWidth="1"/>
    <col min="5" max="5" width="12.140625" customWidth="1"/>
    <col min="7" max="7" width="14.140625" customWidth="1"/>
    <col min="8" max="8" width="16.28515625" customWidth="1"/>
    <col min="9" max="9" width="13" customWidth="1"/>
    <col min="10" max="10" width="18.42578125" customWidth="1"/>
    <col min="11" max="11" width="15.7109375" customWidth="1"/>
  </cols>
  <sheetData>
    <row r="1" spans="1:11" x14ac:dyDescent="0.25">
      <c r="A1" t="s">
        <v>0</v>
      </c>
    </row>
    <row r="4" spans="1:11" x14ac:dyDescent="0.25">
      <c r="A4" s="64" t="s">
        <v>1</v>
      </c>
      <c r="B4" s="65"/>
      <c r="C4" s="65"/>
      <c r="D4" s="65"/>
      <c r="E4" s="65"/>
      <c r="F4" s="65"/>
      <c r="G4" s="65"/>
      <c r="H4" s="65"/>
      <c r="I4" s="65"/>
      <c r="J4" s="65"/>
      <c r="K4" s="66"/>
    </row>
    <row r="5" spans="1:11" x14ac:dyDescent="0.25">
      <c r="A5" s="67"/>
      <c r="B5" s="68"/>
      <c r="C5" s="68"/>
      <c r="D5" s="68"/>
      <c r="E5" s="68"/>
      <c r="F5" s="68"/>
      <c r="G5" s="68"/>
      <c r="H5" s="68"/>
      <c r="I5" s="68"/>
      <c r="J5" s="68"/>
      <c r="K5" s="69"/>
    </row>
    <row r="6" spans="1:11" x14ac:dyDescent="0.2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</row>
    <row r="7" spans="1:1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2"/>
    </row>
    <row r="8" spans="1:11" ht="15.75" x14ac:dyDescent="0.25">
      <c r="A8" s="73" t="s">
        <v>2</v>
      </c>
      <c r="B8" s="74"/>
      <c r="C8" s="45" t="s">
        <v>61</v>
      </c>
      <c r="D8" s="1"/>
      <c r="E8" s="1"/>
      <c r="F8" s="1"/>
      <c r="G8" s="1"/>
      <c r="H8" s="1"/>
      <c r="I8" s="1"/>
      <c r="J8" s="1"/>
      <c r="K8" s="1"/>
    </row>
    <row r="9" spans="1:11" ht="15.75" x14ac:dyDescent="0.25">
      <c r="A9" s="75" t="s">
        <v>3</v>
      </c>
      <c r="B9" s="76"/>
      <c r="C9" s="45" t="s">
        <v>62</v>
      </c>
      <c r="D9" s="1"/>
      <c r="E9" s="1"/>
      <c r="F9" s="1"/>
      <c r="G9" s="1"/>
      <c r="H9" s="1"/>
      <c r="I9" s="1"/>
      <c r="J9" s="1"/>
      <c r="K9" s="1"/>
    </row>
    <row r="10" spans="1:11" ht="15.75" x14ac:dyDescent="0.25">
      <c r="A10" s="77" t="s">
        <v>4</v>
      </c>
      <c r="B10" s="78"/>
      <c r="C10" s="46">
        <v>46204</v>
      </c>
      <c r="D10" s="1"/>
      <c r="E10" s="1"/>
      <c r="F10" s="1"/>
      <c r="G10" s="1"/>
      <c r="H10" s="1"/>
      <c r="I10" s="1"/>
      <c r="J10" s="1"/>
      <c r="K10" s="1"/>
    </row>
    <row r="11" spans="1:11" ht="16.5" thickBot="1" x14ac:dyDescent="0.3">
      <c r="A11" s="37" t="s">
        <v>5</v>
      </c>
      <c r="B11" s="38"/>
      <c r="C11" s="46">
        <v>46295</v>
      </c>
      <c r="D11" s="1"/>
      <c r="E11" s="1"/>
      <c r="F11" s="1"/>
      <c r="G11" s="1"/>
      <c r="H11" s="1"/>
      <c r="I11" s="1"/>
      <c r="J11" s="1"/>
      <c r="K11" s="1"/>
    </row>
    <row r="13" spans="1:11" ht="15.75" thickBot="1" x14ac:dyDescent="0.3">
      <c r="J13" s="63" t="s">
        <v>6</v>
      </c>
      <c r="K13" s="63"/>
    </row>
    <row r="14" spans="1:11" ht="16.5" thickTop="1" thickBot="1" x14ac:dyDescent="0.3">
      <c r="A14" s="51" t="s">
        <v>7</v>
      </c>
      <c r="B14" s="54" t="s">
        <v>8</v>
      </c>
      <c r="C14" s="39"/>
      <c r="D14" s="57" t="s">
        <v>9</v>
      </c>
      <c r="E14" s="58"/>
      <c r="F14" s="58"/>
      <c r="G14" s="59"/>
      <c r="H14" s="60" t="s">
        <v>10</v>
      </c>
      <c r="I14" s="54" t="s">
        <v>11</v>
      </c>
      <c r="J14" s="54" t="s">
        <v>12</v>
      </c>
      <c r="K14" s="49" t="s">
        <v>13</v>
      </c>
    </row>
    <row r="15" spans="1:11" ht="36.75" thickBot="1" x14ac:dyDescent="0.3">
      <c r="A15" s="52"/>
      <c r="B15" s="55"/>
      <c r="C15" s="40" t="s">
        <v>14</v>
      </c>
      <c r="D15" s="41" t="s">
        <v>15</v>
      </c>
      <c r="E15" s="41" t="s">
        <v>16</v>
      </c>
      <c r="F15" s="41" t="s">
        <v>17</v>
      </c>
      <c r="G15" s="42" t="s">
        <v>18</v>
      </c>
      <c r="H15" s="61"/>
      <c r="I15" s="62"/>
      <c r="J15" s="62"/>
      <c r="K15" s="50"/>
    </row>
    <row r="16" spans="1:11" ht="15.75" thickBot="1" x14ac:dyDescent="0.3">
      <c r="A16" s="53"/>
      <c r="B16" s="56"/>
      <c r="C16" s="43" t="s">
        <v>19</v>
      </c>
      <c r="D16" s="43" t="s">
        <v>20</v>
      </c>
      <c r="E16" s="43" t="s">
        <v>21</v>
      </c>
      <c r="F16" s="43" t="s">
        <v>22</v>
      </c>
      <c r="G16" s="43" t="s">
        <v>23</v>
      </c>
      <c r="H16" s="43" t="s">
        <v>24</v>
      </c>
      <c r="I16" s="43" t="s">
        <v>25</v>
      </c>
      <c r="J16" s="43" t="s">
        <v>26</v>
      </c>
      <c r="K16" s="44" t="s">
        <v>27</v>
      </c>
    </row>
    <row r="17" spans="1:11" ht="15.75" thickTop="1" x14ac:dyDescent="0.25">
      <c r="A17" s="11">
        <v>1</v>
      </c>
      <c r="B17" s="2" t="s">
        <v>28</v>
      </c>
      <c r="C17" s="21">
        <f>SUM(C18:C21)</f>
        <v>791005.65883717081</v>
      </c>
      <c r="D17" s="21">
        <f>SUM(D18:D21)</f>
        <v>0</v>
      </c>
      <c r="E17" s="21">
        <f>SUM(E18:E21)</f>
        <v>0</v>
      </c>
      <c r="F17" s="21">
        <f>D17+E17</f>
        <v>0</v>
      </c>
      <c r="G17" s="21">
        <f>C17-F17</f>
        <v>791005.65883717081</v>
      </c>
      <c r="H17" s="28">
        <v>0.01</v>
      </c>
      <c r="I17" s="7">
        <f>G17*H17</f>
        <v>7910.0565883717081</v>
      </c>
      <c r="J17" s="22">
        <f>SUM(J18:J21)</f>
        <v>7801.9897531581209</v>
      </c>
      <c r="K17" s="23">
        <f>J17-I17</f>
        <v>-108.06683521358718</v>
      </c>
    </row>
    <row r="18" spans="1:11" x14ac:dyDescent="0.25">
      <c r="A18" s="12">
        <v>1.1000000000000001</v>
      </c>
      <c r="B18" s="4" t="s">
        <v>29</v>
      </c>
      <c r="C18" s="47">
        <v>506153.74052617227</v>
      </c>
      <c r="D18" s="35"/>
      <c r="E18" s="35"/>
      <c r="F18" s="8">
        <f>D18+E18</f>
        <v>0</v>
      </c>
      <c r="G18" s="8">
        <f>C18-F18</f>
        <v>506153.74052617227</v>
      </c>
      <c r="H18" s="29">
        <v>0.01</v>
      </c>
      <c r="I18" s="8">
        <f>G18*H18</f>
        <v>5061.5374052617226</v>
      </c>
      <c r="J18" s="48">
        <v>4525.179287583901</v>
      </c>
      <c r="K18" s="13">
        <f>J18-I18</f>
        <v>-536.35811767782161</v>
      </c>
    </row>
    <row r="19" spans="1:11" x14ac:dyDescent="0.25">
      <c r="A19" s="12">
        <v>1.2</v>
      </c>
      <c r="B19" s="4" t="s">
        <v>30</v>
      </c>
      <c r="C19" s="47">
        <v>102191.46110892847</v>
      </c>
      <c r="D19" s="35"/>
      <c r="E19" s="35"/>
      <c r="F19" s="8">
        <f t="shared" ref="F19:F21" si="0">D19+E19</f>
        <v>0</v>
      </c>
      <c r="G19" s="8">
        <f t="shared" ref="G19:G21" si="1">C19-F19</f>
        <v>102191.46110892847</v>
      </c>
      <c r="H19" s="29">
        <v>0.01</v>
      </c>
      <c r="I19" s="8">
        <f t="shared" ref="I19:I21" si="2">G19*H19</f>
        <v>1021.9146110892848</v>
      </c>
      <c r="J19" s="48">
        <v>1128.0128336974919</v>
      </c>
      <c r="K19" s="13">
        <f t="shared" ref="K19:K21" si="3">J19-I19</f>
        <v>106.09822260820715</v>
      </c>
    </row>
    <row r="20" spans="1:11" x14ac:dyDescent="0.25">
      <c r="A20" s="12">
        <v>1.3</v>
      </c>
      <c r="B20" s="4" t="s">
        <v>31</v>
      </c>
      <c r="C20" s="47">
        <v>1063.69595607</v>
      </c>
      <c r="D20" s="35"/>
      <c r="E20" s="35"/>
      <c r="F20" s="8">
        <f t="shared" si="0"/>
        <v>0</v>
      </c>
      <c r="G20" s="8">
        <f t="shared" si="1"/>
        <v>1063.69595607</v>
      </c>
      <c r="H20" s="29">
        <v>0.01</v>
      </c>
      <c r="I20" s="8">
        <f t="shared" si="2"/>
        <v>10.636959560699999</v>
      </c>
      <c r="J20" s="48">
        <v>7.1474087782253797</v>
      </c>
      <c r="K20" s="13">
        <f t="shared" si="3"/>
        <v>-3.4895507824746197</v>
      </c>
    </row>
    <row r="21" spans="1:11" ht="15.75" thickBot="1" x14ac:dyDescent="0.3">
      <c r="A21" s="14">
        <v>1.4</v>
      </c>
      <c r="B21" s="5" t="s">
        <v>32</v>
      </c>
      <c r="C21" s="47">
        <v>181596.76124600007</v>
      </c>
      <c r="D21" s="36"/>
      <c r="E21" s="36"/>
      <c r="F21" s="8">
        <f t="shared" si="0"/>
        <v>0</v>
      </c>
      <c r="G21" s="8">
        <f t="shared" si="1"/>
        <v>181596.76124600007</v>
      </c>
      <c r="H21" s="30">
        <v>0.01</v>
      </c>
      <c r="I21" s="8">
        <f t="shared" si="2"/>
        <v>1815.9676124600007</v>
      </c>
      <c r="J21" s="48">
        <v>2141.6502230985025</v>
      </c>
      <c r="K21" s="13">
        <f t="shared" si="3"/>
        <v>325.68261063850173</v>
      </c>
    </row>
    <row r="22" spans="1:11" x14ac:dyDescent="0.25">
      <c r="A22" s="15">
        <v>2</v>
      </c>
      <c r="B22" s="3" t="s">
        <v>33</v>
      </c>
      <c r="C22" s="6">
        <f>SUM(C23:C26)</f>
        <v>13723.89696329001</v>
      </c>
      <c r="D22" s="6">
        <f t="shared" ref="D22:E22" si="4">SUM(D23:D26)</f>
        <v>0</v>
      </c>
      <c r="E22" s="6">
        <f t="shared" si="4"/>
        <v>0</v>
      </c>
      <c r="F22" s="6">
        <f>D22+E22</f>
        <v>0</v>
      </c>
      <c r="G22" s="6">
        <f>C22-F22</f>
        <v>13723.89696329001</v>
      </c>
      <c r="H22" s="31">
        <v>0.03</v>
      </c>
      <c r="I22" s="6">
        <f>G22*H22</f>
        <v>411.7169088987003</v>
      </c>
      <c r="J22" s="22">
        <f>SUM(J23:J26)</f>
        <v>601.622973120452</v>
      </c>
      <c r="K22" s="16">
        <f>J22-I22</f>
        <v>189.90606422175171</v>
      </c>
    </row>
    <row r="23" spans="1:11" x14ac:dyDescent="0.25">
      <c r="A23" s="12">
        <v>2.1</v>
      </c>
      <c r="B23" s="4" t="s">
        <v>34</v>
      </c>
      <c r="C23" s="48">
        <v>7159.0420414900109</v>
      </c>
      <c r="D23" s="35"/>
      <c r="E23" s="35"/>
      <c r="F23" s="8">
        <f>D23+E23</f>
        <v>0</v>
      </c>
      <c r="G23" s="8">
        <f>C23-F23</f>
        <v>7159.0420414900109</v>
      </c>
      <c r="H23" s="29">
        <v>0.03</v>
      </c>
      <c r="I23" s="8">
        <f>G23*H23</f>
        <v>214.77126124470033</v>
      </c>
      <c r="J23" s="48">
        <v>188.27719603781134</v>
      </c>
      <c r="K23" s="13">
        <f>J23-I23</f>
        <v>-26.49406520688899</v>
      </c>
    </row>
    <row r="24" spans="1:11" x14ac:dyDescent="0.25">
      <c r="A24" s="12">
        <v>2.2000000000000002</v>
      </c>
      <c r="B24" s="4" t="s">
        <v>35</v>
      </c>
      <c r="C24" s="48">
        <v>1314.95295721</v>
      </c>
      <c r="D24" s="35"/>
      <c r="E24" s="35"/>
      <c r="F24" s="8">
        <f t="shared" ref="F24:F26" si="5">D24+E24</f>
        <v>0</v>
      </c>
      <c r="G24" s="8">
        <f t="shared" ref="G24:G26" si="6">C24-F24</f>
        <v>1314.95295721</v>
      </c>
      <c r="H24" s="29">
        <v>0.03</v>
      </c>
      <c r="I24" s="8">
        <f t="shared" ref="I24:I27" si="7">G24*H24</f>
        <v>39.448588716300002</v>
      </c>
      <c r="J24" s="48">
        <v>11.494750428173615</v>
      </c>
      <c r="K24" s="13">
        <f t="shared" ref="K24:K26" si="8">J24-I24</f>
        <v>-27.953838288126384</v>
      </c>
    </row>
    <row r="25" spans="1:11" x14ac:dyDescent="0.25">
      <c r="A25" s="12">
        <v>2.2999999999999998</v>
      </c>
      <c r="B25" s="4" t="s">
        <v>36</v>
      </c>
      <c r="C25" s="48">
        <v>0</v>
      </c>
      <c r="D25" s="35"/>
      <c r="E25" s="35"/>
      <c r="F25" s="8">
        <f t="shared" si="5"/>
        <v>0</v>
      </c>
      <c r="G25" s="8">
        <f t="shared" si="6"/>
        <v>0</v>
      </c>
      <c r="H25" s="29">
        <v>0.03</v>
      </c>
      <c r="I25" s="8">
        <f t="shared" si="7"/>
        <v>0</v>
      </c>
      <c r="J25" s="48">
        <v>0</v>
      </c>
      <c r="K25" s="13">
        <f t="shared" si="8"/>
        <v>0</v>
      </c>
    </row>
    <row r="26" spans="1:11" ht="15.75" thickBot="1" x14ac:dyDescent="0.3">
      <c r="A26" s="14">
        <v>2.4</v>
      </c>
      <c r="B26" s="5" t="s">
        <v>37</v>
      </c>
      <c r="C26" s="48">
        <v>5249.9019645899989</v>
      </c>
      <c r="D26" s="36"/>
      <c r="E26" s="36"/>
      <c r="F26" s="8">
        <f t="shared" si="5"/>
        <v>0</v>
      </c>
      <c r="G26" s="8">
        <f t="shared" si="6"/>
        <v>5249.9019645899989</v>
      </c>
      <c r="H26" s="30">
        <v>0.03</v>
      </c>
      <c r="I26" s="8">
        <f t="shared" si="7"/>
        <v>157.49705893769996</v>
      </c>
      <c r="J26" s="48">
        <v>401.85102665446703</v>
      </c>
      <c r="K26" s="13">
        <f t="shared" si="8"/>
        <v>244.35396771676707</v>
      </c>
    </row>
    <row r="27" spans="1:11" x14ac:dyDescent="0.25">
      <c r="A27" s="15">
        <v>3</v>
      </c>
      <c r="B27" s="3" t="s">
        <v>38</v>
      </c>
      <c r="C27" s="6">
        <f>C28+C33</f>
        <v>4851.9404253500043</v>
      </c>
      <c r="D27" s="6">
        <f t="shared" ref="D27:E27" si="9">D28+D33</f>
        <v>0</v>
      </c>
      <c r="E27" s="6">
        <f t="shared" si="9"/>
        <v>3208.2354816733477</v>
      </c>
      <c r="F27" s="6">
        <f>D27+E27</f>
        <v>3208.2354816733477</v>
      </c>
      <c r="G27" s="6">
        <f>C27-F27</f>
        <v>1643.7049436766565</v>
      </c>
      <c r="H27" s="31">
        <v>0.2</v>
      </c>
      <c r="I27" s="6">
        <f t="shared" si="7"/>
        <v>328.74098873533131</v>
      </c>
      <c r="J27" s="6">
        <f>J28+J33</f>
        <v>1924.0908974924655</v>
      </c>
      <c r="K27" s="16">
        <f>J27-I27</f>
        <v>1595.3499087571342</v>
      </c>
    </row>
    <row r="28" spans="1:11" x14ac:dyDescent="0.25">
      <c r="A28" s="12">
        <v>3.1</v>
      </c>
      <c r="B28" s="4" t="s">
        <v>39</v>
      </c>
      <c r="C28" s="8">
        <f>SUM(C29:C32)</f>
        <v>40.923464490000001</v>
      </c>
      <c r="D28" s="8">
        <f>SUM(D29:D32)</f>
        <v>0</v>
      </c>
      <c r="E28" s="8">
        <f t="shared" ref="E28" si="10">SUM(E29:E32)</f>
        <v>12.913841490844998</v>
      </c>
      <c r="F28" s="8">
        <f>D28+E28</f>
        <v>12.913841490844998</v>
      </c>
      <c r="G28" s="8">
        <f>C28-F28</f>
        <v>28.009622999155003</v>
      </c>
      <c r="H28" s="29">
        <v>0.2</v>
      </c>
      <c r="I28" s="8">
        <f>G28*H28</f>
        <v>5.6019245998310012</v>
      </c>
      <c r="J28" s="8">
        <f>SUM(J29:J32)</f>
        <v>5.831127826015071</v>
      </c>
      <c r="K28" s="13">
        <f>J28-I28</f>
        <v>0.22920322618406974</v>
      </c>
    </row>
    <row r="29" spans="1:11" x14ac:dyDescent="0.25">
      <c r="A29" s="12" t="s">
        <v>40</v>
      </c>
      <c r="B29" s="4" t="s">
        <v>34</v>
      </c>
      <c r="C29" s="35">
        <v>40.923464490000001</v>
      </c>
      <c r="D29" s="35"/>
      <c r="E29" s="35">
        <v>12.913841490844998</v>
      </c>
      <c r="F29" s="8">
        <f t="shared" ref="F29:F31" si="11">D29+E29</f>
        <v>12.913841490844998</v>
      </c>
      <c r="G29" s="8">
        <f t="shared" ref="G29:G37" si="12">C29-F29</f>
        <v>28.009622999155003</v>
      </c>
      <c r="H29" s="29">
        <v>0.2</v>
      </c>
      <c r="I29" s="8">
        <f t="shared" ref="I29:I37" si="13">G29*H29</f>
        <v>5.6019245998310012</v>
      </c>
      <c r="J29" s="35">
        <v>5.831127826015071</v>
      </c>
      <c r="K29" s="13">
        <f t="shared" ref="K29:K37" si="14">J29-I29</f>
        <v>0.22920322618406974</v>
      </c>
    </row>
    <row r="30" spans="1:11" x14ac:dyDescent="0.25">
      <c r="A30" s="12" t="s">
        <v>41</v>
      </c>
      <c r="B30" s="4" t="s">
        <v>35</v>
      </c>
      <c r="C30" s="35">
        <v>0</v>
      </c>
      <c r="D30" s="35"/>
      <c r="E30" s="35">
        <v>0</v>
      </c>
      <c r="F30" s="8">
        <f t="shared" si="11"/>
        <v>0</v>
      </c>
      <c r="G30" s="8">
        <f t="shared" si="12"/>
        <v>0</v>
      </c>
      <c r="H30" s="29">
        <v>0.2</v>
      </c>
      <c r="I30" s="8">
        <f t="shared" si="13"/>
        <v>0</v>
      </c>
      <c r="J30" s="35">
        <v>0</v>
      </c>
      <c r="K30" s="13">
        <f t="shared" si="14"/>
        <v>0</v>
      </c>
    </row>
    <row r="31" spans="1:11" x14ac:dyDescent="0.25">
      <c r="A31" s="12" t="s">
        <v>42</v>
      </c>
      <c r="B31" s="4" t="s">
        <v>36</v>
      </c>
      <c r="C31" s="35">
        <v>0</v>
      </c>
      <c r="D31" s="35"/>
      <c r="E31" s="35">
        <v>0</v>
      </c>
      <c r="F31" s="8">
        <f t="shared" si="11"/>
        <v>0</v>
      </c>
      <c r="G31" s="8">
        <f t="shared" si="12"/>
        <v>0</v>
      </c>
      <c r="H31" s="29">
        <v>0.2</v>
      </c>
      <c r="I31" s="8">
        <f t="shared" si="13"/>
        <v>0</v>
      </c>
      <c r="J31" s="35">
        <v>0</v>
      </c>
      <c r="K31" s="13">
        <f t="shared" si="14"/>
        <v>0</v>
      </c>
    </row>
    <row r="32" spans="1:11" x14ac:dyDescent="0.25">
      <c r="A32" s="12" t="s">
        <v>43</v>
      </c>
      <c r="B32" s="4" t="s">
        <v>44</v>
      </c>
      <c r="C32" s="35">
        <v>0</v>
      </c>
      <c r="D32" s="35"/>
      <c r="E32" s="35">
        <v>0</v>
      </c>
      <c r="F32" s="8">
        <f>D32+E32</f>
        <v>0</v>
      </c>
      <c r="G32" s="8">
        <f t="shared" si="12"/>
        <v>0</v>
      </c>
      <c r="H32" s="29">
        <v>0.2</v>
      </c>
      <c r="I32" s="8">
        <f t="shared" si="13"/>
        <v>0</v>
      </c>
      <c r="J32" s="35">
        <v>0</v>
      </c>
      <c r="K32" s="13">
        <f>J32-I32</f>
        <v>0</v>
      </c>
    </row>
    <row r="33" spans="1:11" x14ac:dyDescent="0.25">
      <c r="A33" s="12">
        <v>3.2</v>
      </c>
      <c r="B33" s="4" t="s">
        <v>58</v>
      </c>
      <c r="C33" s="8">
        <f>SUM(C34:C37)</f>
        <v>4811.0169608600045</v>
      </c>
      <c r="D33" s="8">
        <f>SUM(D34:D37)</f>
        <v>0</v>
      </c>
      <c r="E33" s="8">
        <f>SUM(E34:E37)</f>
        <v>3195.321640182503</v>
      </c>
      <c r="F33" s="8">
        <f t="shared" ref="F33:F37" si="15">D33+E33</f>
        <v>3195.321640182503</v>
      </c>
      <c r="G33" s="8">
        <f t="shared" si="12"/>
        <v>1615.6953206775015</v>
      </c>
      <c r="H33" s="29">
        <v>0.2</v>
      </c>
      <c r="I33" s="8">
        <f>G33*H33</f>
        <v>323.13906413550035</v>
      </c>
      <c r="J33" s="27">
        <f>SUM(J34:J37)</f>
        <v>1918.2597696664504</v>
      </c>
      <c r="K33" s="13">
        <f t="shared" si="14"/>
        <v>1595.1207055309501</v>
      </c>
    </row>
    <row r="34" spans="1:11" x14ac:dyDescent="0.25">
      <c r="A34" s="12" t="s">
        <v>45</v>
      </c>
      <c r="B34" s="4" t="s">
        <v>57</v>
      </c>
      <c r="C34" s="48">
        <v>3054.5365400300034</v>
      </c>
      <c r="D34" s="35"/>
      <c r="E34" s="48">
        <v>2182.5040817851632</v>
      </c>
      <c r="F34" s="8">
        <f t="shared" si="15"/>
        <v>2182.5040817851632</v>
      </c>
      <c r="G34" s="8">
        <f t="shared" si="12"/>
        <v>872.0324582448402</v>
      </c>
      <c r="H34" s="29">
        <v>0.2</v>
      </c>
      <c r="I34" s="8">
        <f t="shared" si="13"/>
        <v>174.40649164896806</v>
      </c>
      <c r="J34" s="48">
        <v>1676.6767542550836</v>
      </c>
      <c r="K34" s="13">
        <f t="shared" si="14"/>
        <v>1502.2702626061155</v>
      </c>
    </row>
    <row r="35" spans="1:11" x14ac:dyDescent="0.25">
      <c r="A35" s="12" t="s">
        <v>46</v>
      </c>
      <c r="B35" s="4" t="s">
        <v>47</v>
      </c>
      <c r="C35" s="48">
        <v>544.16596954000011</v>
      </c>
      <c r="D35" s="35"/>
      <c r="E35" s="48">
        <v>293.67830727623499</v>
      </c>
      <c r="F35" s="8">
        <f t="shared" si="15"/>
        <v>293.67830727623499</v>
      </c>
      <c r="G35" s="8">
        <f t="shared" si="12"/>
        <v>250.48766226376512</v>
      </c>
      <c r="H35" s="29">
        <v>0.2</v>
      </c>
      <c r="I35" s="8">
        <f t="shared" si="13"/>
        <v>50.097532452753029</v>
      </c>
      <c r="J35" s="48">
        <v>66.710233650475303</v>
      </c>
      <c r="K35" s="13">
        <f t="shared" si="14"/>
        <v>16.612701197722274</v>
      </c>
    </row>
    <row r="36" spans="1:11" x14ac:dyDescent="0.25">
      <c r="A36" s="12" t="s">
        <v>48</v>
      </c>
      <c r="B36" s="4" t="s">
        <v>36</v>
      </c>
      <c r="C36" s="48">
        <v>0</v>
      </c>
      <c r="D36" s="35"/>
      <c r="E36" s="48">
        <v>0</v>
      </c>
      <c r="F36" s="8">
        <f t="shared" si="15"/>
        <v>0</v>
      </c>
      <c r="G36" s="8">
        <f t="shared" si="12"/>
        <v>0</v>
      </c>
      <c r="H36" s="29">
        <v>0.2</v>
      </c>
      <c r="I36" s="8">
        <f t="shared" si="13"/>
        <v>0</v>
      </c>
      <c r="J36" s="48">
        <v>0</v>
      </c>
      <c r="K36" s="13">
        <f t="shared" si="14"/>
        <v>0</v>
      </c>
    </row>
    <row r="37" spans="1:11" ht="15.75" thickBot="1" x14ac:dyDescent="0.3">
      <c r="A37" s="14" t="s">
        <v>49</v>
      </c>
      <c r="B37" s="5" t="s">
        <v>44</v>
      </c>
      <c r="C37" s="48">
        <v>1212.3144512900005</v>
      </c>
      <c r="D37" s="36"/>
      <c r="E37" s="48">
        <v>719.13925112110473</v>
      </c>
      <c r="F37" s="8">
        <f t="shared" si="15"/>
        <v>719.13925112110473</v>
      </c>
      <c r="G37" s="8">
        <f t="shared" si="12"/>
        <v>493.1752001688958</v>
      </c>
      <c r="H37" s="30">
        <v>0.2</v>
      </c>
      <c r="I37" s="8">
        <f t="shared" si="13"/>
        <v>98.635040033779163</v>
      </c>
      <c r="J37" s="48">
        <v>174.87278176089151</v>
      </c>
      <c r="K37" s="13">
        <f t="shared" si="14"/>
        <v>76.237741727112351</v>
      </c>
    </row>
    <row r="38" spans="1:11" x14ac:dyDescent="0.25">
      <c r="A38" s="15">
        <v>4</v>
      </c>
      <c r="B38" s="3" t="s">
        <v>50</v>
      </c>
      <c r="C38" s="6">
        <f>SUM(C39:C42)</f>
        <v>1429.4052809499999</v>
      </c>
      <c r="D38" s="6">
        <f t="shared" ref="D38:E38" si="16">SUM(D39:D42)</f>
        <v>0</v>
      </c>
      <c r="E38" s="6">
        <f t="shared" si="16"/>
        <v>933.08649836789039</v>
      </c>
      <c r="F38" s="6">
        <f>D38+E38</f>
        <v>933.08649836789039</v>
      </c>
      <c r="G38" s="6">
        <f>C38-F38</f>
        <v>496.31878258210952</v>
      </c>
      <c r="H38" s="31">
        <v>0.5</v>
      </c>
      <c r="I38" s="6">
        <f>G38*H38</f>
        <v>248.15939129105476</v>
      </c>
      <c r="J38" s="32">
        <f>SUM(J39:J42)</f>
        <v>639.06580758494636</v>
      </c>
      <c r="K38" s="16">
        <f>J38-I38</f>
        <v>390.9064162938916</v>
      </c>
    </row>
    <row r="39" spans="1:11" x14ac:dyDescent="0.25">
      <c r="A39" s="12">
        <v>4.0999999999999996</v>
      </c>
      <c r="B39" s="4" t="s">
        <v>51</v>
      </c>
      <c r="C39" s="48">
        <v>1065.0043648999999</v>
      </c>
      <c r="D39" s="35"/>
      <c r="E39" s="48">
        <v>692.42720405740033</v>
      </c>
      <c r="F39" s="8">
        <f>D39+E39</f>
        <v>692.42720405740033</v>
      </c>
      <c r="G39" s="8">
        <f>C39-F39</f>
        <v>372.5771608425996</v>
      </c>
      <c r="H39" s="29">
        <v>0.5</v>
      </c>
      <c r="I39" s="8">
        <f>G39*H39</f>
        <v>186.2885804212998</v>
      </c>
      <c r="J39" s="48">
        <v>559.18243463879116</v>
      </c>
      <c r="K39" s="13">
        <f>J39-I39</f>
        <v>372.89385421749137</v>
      </c>
    </row>
    <row r="40" spans="1:11" x14ac:dyDescent="0.25">
      <c r="A40" s="12">
        <v>4.2</v>
      </c>
      <c r="B40" s="4" t="s">
        <v>47</v>
      </c>
      <c r="C40" s="48">
        <v>20.112220830000002</v>
      </c>
      <c r="D40" s="35"/>
      <c r="E40" s="48">
        <v>14.08873874408</v>
      </c>
      <c r="F40" s="8">
        <f t="shared" ref="F40:F42" si="17">D40+E40</f>
        <v>14.08873874408</v>
      </c>
      <c r="G40" s="8">
        <f t="shared" ref="G40:G42" si="18">C40-F40</f>
        <v>6.0234820859200013</v>
      </c>
      <c r="H40" s="29">
        <v>0.5</v>
      </c>
      <c r="I40" s="8">
        <f t="shared" ref="I40:I42" si="19">G40*H40</f>
        <v>3.0117410429600007</v>
      </c>
      <c r="J40" s="48">
        <v>1.7677231016348249</v>
      </c>
      <c r="K40" s="13">
        <f t="shared" ref="K40:K42" si="20">J40-I40</f>
        <v>-1.2440179413251757</v>
      </c>
    </row>
    <row r="41" spans="1:11" x14ac:dyDescent="0.25">
      <c r="A41" s="12">
        <v>4.3</v>
      </c>
      <c r="B41" s="4" t="s">
        <v>52</v>
      </c>
      <c r="C41" s="48">
        <v>0</v>
      </c>
      <c r="D41" s="35"/>
      <c r="E41" s="48">
        <v>0</v>
      </c>
      <c r="F41" s="8">
        <f t="shared" si="17"/>
        <v>0</v>
      </c>
      <c r="G41" s="8">
        <f t="shared" si="18"/>
        <v>0</v>
      </c>
      <c r="H41" s="29">
        <v>0.5</v>
      </c>
      <c r="I41" s="8">
        <f t="shared" si="19"/>
        <v>0</v>
      </c>
      <c r="J41" s="48">
        <v>0</v>
      </c>
      <c r="K41" s="13">
        <f>J41-I41</f>
        <v>0</v>
      </c>
    </row>
    <row r="42" spans="1:11" ht="15.75" thickBot="1" x14ac:dyDescent="0.3">
      <c r="A42" s="14">
        <v>4.4000000000000004</v>
      </c>
      <c r="B42" s="5" t="s">
        <v>53</v>
      </c>
      <c r="C42" s="48">
        <v>344.28869521999997</v>
      </c>
      <c r="D42" s="36"/>
      <c r="E42" s="48">
        <v>226.57055556640998</v>
      </c>
      <c r="F42" s="8">
        <f t="shared" si="17"/>
        <v>226.57055556640998</v>
      </c>
      <c r="G42" s="8">
        <f t="shared" si="18"/>
        <v>117.71813965358999</v>
      </c>
      <c r="H42" s="30">
        <v>0.5</v>
      </c>
      <c r="I42" s="8">
        <f t="shared" si="19"/>
        <v>58.859069826794993</v>
      </c>
      <c r="J42" s="48">
        <v>78.115649844520405</v>
      </c>
      <c r="K42" s="13">
        <f t="shared" si="20"/>
        <v>19.256580017725412</v>
      </c>
    </row>
    <row r="43" spans="1:11" x14ac:dyDescent="0.25">
      <c r="A43" s="15">
        <v>5</v>
      </c>
      <c r="B43" s="3" t="s">
        <v>54</v>
      </c>
      <c r="C43" s="6">
        <f>SUM(C44:C47)</f>
        <v>6488.1909708900148</v>
      </c>
      <c r="D43" s="6">
        <f t="shared" ref="D43:E43" si="21">SUM(D44:D47)</f>
        <v>0</v>
      </c>
      <c r="E43" s="6">
        <f t="shared" si="21"/>
        <v>3342.545957171757</v>
      </c>
      <c r="F43" s="6">
        <f>D43+E43</f>
        <v>3342.545957171757</v>
      </c>
      <c r="G43" s="6">
        <f>C43-F43</f>
        <v>3145.6450137182578</v>
      </c>
      <c r="H43" s="31">
        <v>1</v>
      </c>
      <c r="I43" s="6">
        <f>G43*H43</f>
        <v>3145.6450137182578</v>
      </c>
      <c r="J43" s="32">
        <f>SUM(J44:J47)</f>
        <v>8918.5869934311049</v>
      </c>
      <c r="K43" s="16">
        <f>J43-I43</f>
        <v>5772.9419797128467</v>
      </c>
    </row>
    <row r="44" spans="1:11" x14ac:dyDescent="0.25">
      <c r="A44" s="12">
        <v>5.0999999999999996</v>
      </c>
      <c r="B44" s="4" t="s">
        <v>34</v>
      </c>
      <c r="C44" s="48">
        <v>4792.6229143600149</v>
      </c>
      <c r="D44" s="35"/>
      <c r="E44" s="48">
        <v>2617.6316918222519</v>
      </c>
      <c r="F44" s="8">
        <f>D44+E44</f>
        <v>2617.6316918222519</v>
      </c>
      <c r="G44" s="8">
        <f>C44-F44</f>
        <v>2174.991222537763</v>
      </c>
      <c r="H44" s="29">
        <v>1</v>
      </c>
      <c r="I44" s="8">
        <f>G44*H44</f>
        <v>2174.991222537763</v>
      </c>
      <c r="J44" s="48">
        <v>6215.3259492265015</v>
      </c>
      <c r="K44" s="13">
        <f>J44-I44</f>
        <v>4040.3347266887386</v>
      </c>
    </row>
    <row r="45" spans="1:11" x14ac:dyDescent="0.25">
      <c r="A45" s="12">
        <v>5.2</v>
      </c>
      <c r="B45" s="4" t="s">
        <v>47</v>
      </c>
      <c r="C45" s="48">
        <v>170.95013977000002</v>
      </c>
      <c r="D45" s="35"/>
      <c r="E45" s="48">
        <v>71.572629858674986</v>
      </c>
      <c r="F45" s="8">
        <f t="shared" ref="F45:F47" si="22">D45+E45</f>
        <v>71.572629858674986</v>
      </c>
      <c r="G45" s="8">
        <f t="shared" ref="G45:G47" si="23">C45-F45</f>
        <v>99.377509911325035</v>
      </c>
      <c r="H45" s="29">
        <v>1</v>
      </c>
      <c r="I45" s="8">
        <f t="shared" ref="I45:I46" si="24">G45*H45</f>
        <v>99.377509911325035</v>
      </c>
      <c r="J45" s="48">
        <v>95.594928797319582</v>
      </c>
      <c r="K45" s="13">
        <f t="shared" ref="K45:K47" si="25">J45-I45</f>
        <v>-3.7825811140054526</v>
      </c>
    </row>
    <row r="46" spans="1:11" x14ac:dyDescent="0.25">
      <c r="A46" s="12">
        <v>5.3</v>
      </c>
      <c r="B46" s="4" t="s">
        <v>36</v>
      </c>
      <c r="C46" s="48">
        <v>1.9990859999999999E-2</v>
      </c>
      <c r="D46" s="35"/>
      <c r="E46" s="48">
        <v>0</v>
      </c>
      <c r="F46" s="8">
        <f t="shared" si="22"/>
        <v>0</v>
      </c>
      <c r="G46" s="8">
        <f t="shared" si="23"/>
        <v>1.9990859999999999E-2</v>
      </c>
      <c r="H46" s="29">
        <v>1</v>
      </c>
      <c r="I46" s="8">
        <f t="shared" si="24"/>
        <v>1.9990859999999999E-2</v>
      </c>
      <c r="J46" s="48">
        <v>1.8406062144738957</v>
      </c>
      <c r="K46" s="13">
        <f>J46-I46</f>
        <v>1.8206153544738957</v>
      </c>
    </row>
    <row r="47" spans="1:11" ht="15.75" thickBot="1" x14ac:dyDescent="0.3">
      <c r="A47" s="14">
        <v>5.4</v>
      </c>
      <c r="B47" s="5" t="s">
        <v>37</v>
      </c>
      <c r="C47" s="48">
        <v>1524.5979259000005</v>
      </c>
      <c r="D47" s="36"/>
      <c r="E47" s="48">
        <v>653.34163549082984</v>
      </c>
      <c r="F47" s="8">
        <f t="shared" si="22"/>
        <v>653.34163549082984</v>
      </c>
      <c r="G47" s="8">
        <f t="shared" si="23"/>
        <v>871.25629040917067</v>
      </c>
      <c r="H47" s="30">
        <v>1</v>
      </c>
      <c r="I47" s="8">
        <f>G47*H47</f>
        <v>871.25629040917067</v>
      </c>
      <c r="J47" s="48">
        <v>2605.8255091928086</v>
      </c>
      <c r="K47" s="13">
        <f t="shared" si="25"/>
        <v>1734.569218783638</v>
      </c>
    </row>
    <row r="48" spans="1:11" x14ac:dyDescent="0.25">
      <c r="A48" s="15">
        <v>6</v>
      </c>
      <c r="B48" s="3" t="s">
        <v>59</v>
      </c>
      <c r="C48" s="6">
        <f>C17+C22+C27+C38+C43</f>
        <v>817499.09247765085</v>
      </c>
      <c r="D48" s="6">
        <f>D17+D22+D27+D38+D43</f>
        <v>0</v>
      </c>
      <c r="E48" s="6">
        <f>E17+E22+E27+E38+E43</f>
        <v>7483.8679372129955</v>
      </c>
      <c r="F48" s="6">
        <f>D48+E48</f>
        <v>7483.8679372129955</v>
      </c>
      <c r="G48" s="6">
        <f>C48-F48</f>
        <v>810015.2245404378</v>
      </c>
      <c r="H48" s="6"/>
      <c r="I48" s="34">
        <f>I17+I22+I27+I38+I43</f>
        <v>12044.318891015053</v>
      </c>
      <c r="J48" s="6">
        <f>J17+J22+J27+J38+J43</f>
        <v>19885.356424787089</v>
      </c>
      <c r="K48" s="33">
        <f>J48-I48</f>
        <v>7841.0375337720361</v>
      </c>
    </row>
    <row r="49" spans="1:11" x14ac:dyDescent="0.25">
      <c r="A49" s="12">
        <v>7</v>
      </c>
      <c r="B49" s="4" t="s">
        <v>55</v>
      </c>
      <c r="C49" s="25">
        <f>C27+C38+C43</f>
        <v>12769.536677190019</v>
      </c>
      <c r="D49" s="27">
        <f t="shared" ref="D49" si="26">D27+D38+D43</f>
        <v>0</v>
      </c>
      <c r="E49" s="27">
        <f>E27+E38+E43</f>
        <v>7483.8679372129955</v>
      </c>
      <c r="F49" s="8">
        <f>D49+E49</f>
        <v>7483.8679372129955</v>
      </c>
      <c r="G49" s="8">
        <f>C49-F49</f>
        <v>5285.6687399770235</v>
      </c>
      <c r="H49" s="8"/>
      <c r="I49" s="27">
        <f>I27+I38+I43</f>
        <v>3722.5453937446437</v>
      </c>
      <c r="J49" s="27">
        <f>J27+J38+J43</f>
        <v>11481.743698508517</v>
      </c>
      <c r="K49" s="8">
        <f>J49-I49</f>
        <v>7759.1983047638732</v>
      </c>
    </row>
    <row r="50" spans="1:11" ht="15.75" thickBot="1" x14ac:dyDescent="0.3">
      <c r="A50" s="17">
        <v>8</v>
      </c>
      <c r="B50" s="18" t="s">
        <v>60</v>
      </c>
      <c r="C50" s="26">
        <f>C49/C48*100</f>
        <v>1.5620245691635577</v>
      </c>
      <c r="D50" s="19"/>
      <c r="E50" s="19"/>
      <c r="F50" s="19"/>
      <c r="G50" s="19"/>
      <c r="H50" s="19"/>
      <c r="I50" s="19"/>
      <c r="J50" s="19"/>
      <c r="K50" s="20"/>
    </row>
    <row r="51" spans="1:11" ht="25.5" thickTop="1" thickBot="1" x14ac:dyDescent="0.3">
      <c r="B51" s="10" t="s">
        <v>56</v>
      </c>
      <c r="C51" s="9"/>
      <c r="D51" s="9"/>
      <c r="E51" s="9"/>
      <c r="F51" s="9"/>
      <c r="G51" s="9"/>
      <c r="H51" s="9"/>
      <c r="I51" s="9"/>
      <c r="J51" s="24">
        <f>J17+J22+J27+J38+J43</f>
        <v>19885.356424787089</v>
      </c>
      <c r="K51" s="9"/>
    </row>
    <row r="52" spans="1:11" ht="15.75" thickTop="1" x14ac:dyDescent="0.25"/>
  </sheetData>
  <sheetProtection password="CF68" sheet="1" objects="1" scenarios="1"/>
  <mergeCells count="12">
    <mergeCell ref="J13:K13"/>
    <mergeCell ref="A4:K7"/>
    <mergeCell ref="A8:B8"/>
    <mergeCell ref="A9:B9"/>
    <mergeCell ref="A10:B10"/>
    <mergeCell ref="K14:K15"/>
    <mergeCell ref="A14:A16"/>
    <mergeCell ref="B14:B16"/>
    <mergeCell ref="D14:G14"/>
    <mergeCell ref="H14:H15"/>
    <mergeCell ref="I14:I15"/>
    <mergeCell ref="J14:J15"/>
  </mergeCells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LOAN_CLA&amp;PROV_LP001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Ermias Solomon Getachew</cp:lastModifiedBy>
  <cp:lastPrinted>2018-01-23T15:15:44Z</cp:lastPrinted>
  <dcterms:created xsi:type="dcterms:W3CDTF">2016-09-22T13:14:25Z</dcterms:created>
  <dcterms:modified xsi:type="dcterms:W3CDTF">2026-10-07T11:00:50Z</dcterms:modified>
</cp:coreProperties>
</file>