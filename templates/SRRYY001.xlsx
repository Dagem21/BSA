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120" windowWidth="27795" windowHeight="118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<sst xmlns="http://schemas.openxmlformats.org/spreadsheetml/2006/main" count="54" uniqueCount="54">
  <si>
    <t>SRRYY001</t>
  </si>
  <si>
    <t>Statutory Reserve Requirement Report</t>
  </si>
  <si>
    <t>0000001</t>
  </si>
  <si>
    <t>2026-08-01T00:00:00</t>
  </si>
  <si>
    <t>2026-08-31T00:00:00</t>
  </si>
  <si>
    <t>(In Millions of Birr)</t>
  </si>
  <si>
    <t>Code</t>
  </si>
  <si>
    <t>Descriptions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</si>
  <si>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</si>
  <si>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</si>
  <si>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</si>
  <si>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</si>
  <si>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</si>
  <si>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</si>
  <si>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</si>
  <si>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</si>
  <si>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</si>
  <si>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</si>
  <si>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</si>
  <si>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</si>
  <si>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</si>
  <si>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</si>
  <si>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</si>
  <si>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</si>
  <si>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</si>
  <si>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</si>
  <si>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</si>
  <si>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</si>
  <si>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</si>
  <si>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</si>
  <si>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</si>
  <si>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</si>
  <si>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</si>
  <si>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</si>
  <si>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</si>
  <si>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</si>
  <si>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</si>
  <si>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</si>
  <si>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</si>
  <si>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</si>
  <si>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</si>
  <si>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</si>
  <si>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</si>
  <si>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Monthly Average</t>
  </si>
  <si>
    <t>Net Average Reserve Base (Previous Calendar Month)</t>
  </si>
  <si>
    <t>Daily Reserve Requirement in Maintenance Period (5% of 1)</t>
  </si>
  <si>
    <t xml:space="preserve">Payment and Settlement Account Balance with NBE in Maintenance Period </t>
  </si>
  <si>
    <t>Excess/Deficiency in Reserve (3 minus 2)</t>
  </si>
  <si>
    <t>Reserve Ratio (3/1*100)</t>
  </si>
  <si>
    <t>Note:-</t>
  </si>
  <si>
    <t xml:space="preserve">Calendar month refers to the start and end of each calendar month </t>
  </si>
  <si>
    <t xml:space="preserve">          - Day 1 refers first Thursday of the month in which reserve maintenance period starts</t>
  </si>
  <si>
    <t xml:space="preserve">         - Day 28 or 35 refers last day, i.e., first Wednesday of the subsequent month in which reserve maintenance period concludes </t>
  </si>
  <si>
    <t xml:space="preserve">        - If the reserve maintenance period concludes on Day 28, fill in the amounts only from Day 1 through Day 28 and leave the remaining days blank. However, if the maintenance period concludes on Day 35, fill in all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</si>
</sst>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/mm/dd;@"/>
    <numFmt numFmtId="165" formatCode="_-* #,##0.00_-;-* #,##0.00_-;_-* &quot;-&quot;??_-;_-@_-"/>
    <numFmt numFmtId="166" formatCode="_(* #,##0.00_);_(* (#,##0.00);_(* &quot;-&quot;??_);_(@_)"/>
  </numFmts>
  <fonts count="8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b/>
      <color rgb="FF000000"/>
      <family val="1"/>
      <sz val="12"/>
      <name val="Times New Roman"/>
    </font>
    <font>
      <color theme="1"/>
      <family val="1"/>
      <sz val="12"/>
      <name val="Times New Roman"/>
    </font>
    <font>
      <b/>
      <color rgb="FFFF0000"/>
      <family val="1"/>
      <sz val="18"/>
      <name val="Times New Roman"/>
    </font>
    <font>
      <b/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family val="1"/>
      <sz val="12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49" fontId="3" fillId="3" borderId="2" xfId="0" applyNumberFormat="1" applyFont="1" applyFill="1" applyBorder="1" applyProtection="1">
      <protection locked="0"/>
    </xf>
    <xf numFmtId="39" fontId="3" fillId="0" borderId="0" xfId="0" applyNumberFormat="1" applyFont="1"/>
    <xf numFmtId="0" fontId="5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Protection="1">
      <protection locked="0"/>
    </xf>
    <xf numFmtId="14" fontId="3" fillId="3" borderId="1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Alignment="1">
      <alignment horizontal="center"/>
    </xf>
    <xf numFmtId="0" fontId="6" fillId="0" borderId="0" xfId="0" applyFont="1"/>
    <xf numFmtId="16" fontId="6" fillId="0" borderId="0" xfId="0" applyNumberFormat="1" applyFont="1"/>
    <xf numFmtId="0" fontId="5" fillId="0" borderId="0" xfId="0" applyFont="1"/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justify" vertical="top" wrapText="1"/>
    </xf>
    <xf numFmtId="164" fontId="5" fillId="0" borderId="7" xfId="0" applyNumberFormat="1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165" fontId="3" fillId="0" borderId="10" xfId="0" applyNumberFormat="1" applyFont="1" applyBorder="1" applyAlignment="1" applyProtection="1">
      <alignment horizontal="justify" vertical="top" wrapText="1"/>
      <protection locked="0"/>
    </xf>
    <xf numFmtId="166" fontId="5" fillId="0" borderId="10" xfId="0" applyNumberFormat="1" applyFont="1" applyBorder="1" applyAlignment="1">
      <alignment vertical="top" wrapText="1"/>
    </xf>
    <xf numFmtId="165" fontId="5" fillId="0" borderId="10" xfId="0" applyNumberFormat="1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10" fontId="5" fillId="0" borderId="12" xfId="0" applyNumberFormat="1" applyFont="1" applyBorder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justify" vertical="top" wrapText="1"/>
    </xf>
    <xf numFmtId="10" fontId="5" fillId="0" borderId="0" xfId="0" applyNumberFormat="1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5" borderId="0" xfId="0" applyFont="1" applyFill="1" applyAlignment="1">
      <alignment horizontal="justify" vertical="top" wrapText="1"/>
    </xf>
    <xf numFmtId="10" fontId="5" fillId="5" borderId="0" xfId="0" applyNumberFormat="1" applyFont="1" applyFill="1" applyAlignment="1">
      <alignment vertical="top" wrapText="1"/>
    </xf>
    <xf numFmtId="10" fontId="5" fillId="6" borderId="0" xfId="0" applyNumberFormat="1" applyFont="1" applyFill="1" applyAlignment="1">
      <alignment vertical="top" wrapText="1"/>
    </xf>
    <xf numFmtId="0" fontId="3" fillId="0" borderId="0" xfId="0" applyFont="1" applyAlignment="1">
      <alignment vertical="top"/>
    </xf>
    <xf numFmtId="0" fontId="3" fillId="4" borderId="0" xfId="0" applyFont="1" applyFill="1" applyAlignment="1">
      <alignment vertical="top"/>
    </xf>
    <xf numFmtId="166" fontId="6" fillId="0" borderId="0" xfId="0" applyNumberFormat="1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3"/>
  <sheetViews>
    <sheetView workbookViewId="0" zoomScale="100" zoomScaleNormal="100">
      <selection activeCell="G28" sqref="G28"/>
    </sheetView>
  </sheetViews>
  <sheetFormatPr defaultRowHeight="15" outlineLevelRow="0" outlineLevelCol="0" x14ac:dyDescent="0.25"/>
  <cols>
    <col min="1" max="1" width="6.42578125" customWidth="1"/>
    <col min="2" max="2" width="66.85546875" customWidth="1"/>
    <col min="3" max="3" width="19.140625" customWidth="1"/>
    <col min="4" max="37" width="11.28515625" customWidth="1"/>
    <col min="38" max="38" width="18.140625" customWidth="1"/>
  </cols>
  <sheetData>
    <row r="1" ht="15" customHeight="1" hidden="1" spans="1:3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15.75" customHeight="1" spans="1:3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5.75" customHeight="1" spans="1:38" s="3" customForma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ht="15.75" customHeight="1" spans="1:38" s="3" customForma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ht="15.75" customHeight="1" spans="1:38" s="3" customForma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ht="15.75" customHeight="1" spans="1:38" s="3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ht="15.75" customHeight="1" spans="1:14" s="3" customFormat="1" x14ac:dyDescent="0.25">
      <c r="A7" s="5" t="s">
        <v>2</v>
      </c>
      <c r="B7" s="5"/>
      <c r="C7" s="6"/>
      <c r="D7" s="7"/>
      <c r="F7" s="7"/>
      <c r="H7" s="7"/>
      <c r="J7" s="7"/>
      <c r="K7" s="7"/>
      <c r="L7" s="7"/>
      <c r="M7" s="7"/>
      <c r="N7" s="7"/>
    </row>
    <row r="8" ht="15.75" customHeight="1" spans="1:14" s="3" customFormat="1" x14ac:dyDescent="0.25">
      <c r="A8" s="8">
        <v>2026</v>
      </c>
      <c r="B8" s="8"/>
      <c r="C8" s="9"/>
      <c r="D8" s="7"/>
      <c r="F8" s="7"/>
      <c r="H8" s="7"/>
      <c r="J8" s="7"/>
      <c r="K8" s="7"/>
      <c r="L8" s="7"/>
      <c r="M8" s="7"/>
      <c r="N8" s="7"/>
    </row>
    <row r="9" ht="15.75" customHeight="1" spans="1:14" s="3" customFormat="1" x14ac:dyDescent="0.25">
      <c r="A9" s="8" t="s">
        <v>3</v>
      </c>
      <c r="B9" s="8"/>
      <c r="C9" s="10"/>
      <c r="D9" s="7"/>
      <c r="F9" s="7"/>
      <c r="H9" s="7"/>
      <c r="J9" s="7"/>
      <c r="K9" s="7"/>
      <c r="L9" s="7"/>
      <c r="M9" s="7"/>
      <c r="N9" s="7"/>
    </row>
    <row r="10" ht="15.75" customHeight="1" spans="1:14" s="3" customFormat="1" x14ac:dyDescent="0.25">
      <c r="A10" s="8" t="s">
        <v>4</v>
      </c>
      <c r="B10" s="8"/>
      <c r="C10" s="10"/>
      <c r="D10" s="7"/>
      <c r="F10" s="7"/>
      <c r="H10" s="7"/>
      <c r="J10" s="7"/>
      <c r="K10" s="7"/>
      <c r="L10" s="7"/>
      <c r="M10" s="7"/>
      <c r="N10" s="7"/>
    </row>
    <row r="11" ht="16.5" customHeight="1" spans="1:38" x14ac:dyDescent="0.25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2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5" t="s">
        <v>5</v>
      </c>
      <c r="AF11" s="16"/>
      <c r="AG11" s="16"/>
      <c r="AH11" s="16"/>
      <c r="AI11" s="16"/>
      <c r="AJ11" s="16"/>
      <c r="AK11" s="16"/>
      <c r="AL11" s="17"/>
    </row>
    <row r="12" ht="22.5" customHeight="1" spans="1:38" x14ac:dyDescent="0.25">
      <c r="A12" s="18" t="s">
        <v>6</v>
      </c>
      <c r="B12" s="19" t="s">
        <v>7</v>
      </c>
      <c r="C12" s="20" t="s">
        <v>8</v>
      </c>
      <c r="D12" s="20" t="s">
        <v>9</v>
      </c>
      <c r="E12" s="20" t="s">
        <v>10</v>
      </c>
      <c r="F12" s="20" t="s">
        <v>11</v>
      </c>
      <c r="G12" s="20" t="s">
        <v>12</v>
      </c>
      <c r="H12" s="20" t="s">
        <v>13</v>
      </c>
      <c r="I12" s="20" t="s">
        <v>14</v>
      </c>
      <c r="J12" s="20" t="s">
        <v>15</v>
      </c>
      <c r="K12" s="20" t="s">
        <v>16</v>
      </c>
      <c r="L12" s="20" t="s">
        <v>17</v>
      </c>
      <c r="M12" s="20" t="s">
        <v>18</v>
      </c>
      <c r="N12" s="20" t="s">
        <v>19</v>
      </c>
      <c r="O12" s="20" t="s">
        <v>20</v>
      </c>
      <c r="P12" s="20" t="s">
        <v>21</v>
      </c>
      <c r="Q12" s="20" t="s">
        <v>22</v>
      </c>
      <c r="R12" s="20" t="s">
        <v>23</v>
      </c>
      <c r="S12" s="20" t="s">
        <v>24</v>
      </c>
      <c r="T12" s="20" t="s">
        <v>25</v>
      </c>
      <c r="U12" s="20" t="s">
        <v>26</v>
      </c>
      <c r="V12" s="20" t="s">
        <v>27</v>
      </c>
      <c r="W12" s="20" t="s">
        <v>28</v>
      </c>
      <c r="X12" s="20" t="s">
        <v>29</v>
      </c>
      <c r="Y12" s="20" t="s">
        <v>30</v>
      </c>
      <c r="Z12" s="20" t="s">
        <v>31</v>
      </c>
      <c r="AA12" s="20" t="s">
        <v>32</v>
      </c>
      <c r="AB12" s="20" t="s">
        <v>33</v>
      </c>
      <c r="AC12" s="20" t="s">
        <v>34</v>
      </c>
      <c r="AD12" s="20" t="s">
        <v>35</v>
      </c>
      <c r="AE12" s="20" t="s">
        <v>36</v>
      </c>
      <c r="AF12" s="20" t="s">
        <v>37</v>
      </c>
      <c r="AG12" s="20" t="s">
        <v>38</v>
      </c>
      <c r="AH12" s="20" t="s">
        <v>39</v>
      </c>
      <c r="AI12" s="20" t="s">
        <v>40</v>
      </c>
      <c r="AJ12" s="20" t="s">
        <v>41</v>
      </c>
      <c r="AK12" s="20" t="s">
        <v>42</v>
      </c>
      <c r="AL12" s="21" t="s">
        <v>43</v>
      </c>
    </row>
    <row r="13" ht="18" customHeight="1" spans="1:38" x14ac:dyDescent="0.25">
      <c r="A13" s="22">
        <v>1</v>
      </c>
      <c r="B13" s="23" t="s">
        <v>44</v>
      </c>
      <c r="C13" s="24">
        <v>50000000</v>
      </c>
      <c r="D13" s="24">
        <v>50100000</v>
      </c>
      <c r="E13" s="24">
        <v>50200000</v>
      </c>
      <c r="F13" s="24">
        <v>50300000</v>
      </c>
      <c r="G13" s="24">
        <v>50400000</v>
      </c>
      <c r="H13" s="24">
        <v>50500000</v>
      </c>
      <c r="I13" s="24">
        <v>50600000</v>
      </c>
      <c r="J13" s="24">
        <v>50700000</v>
      </c>
      <c r="K13" s="24">
        <v>50800000</v>
      </c>
      <c r="L13" s="24">
        <v>50900000</v>
      </c>
      <c r="M13" s="24">
        <v>51000000</v>
      </c>
      <c r="N13" s="24">
        <v>51100000</v>
      </c>
      <c r="O13" s="24">
        <v>51200000</v>
      </c>
      <c r="P13" s="24">
        <v>51300000</v>
      </c>
      <c r="Q13" s="24">
        <v>51400000</v>
      </c>
      <c r="R13" s="24">
        <v>51500000</v>
      </c>
      <c r="S13" s="24">
        <v>51600000</v>
      </c>
      <c r="T13" s="24">
        <v>51700000</v>
      </c>
      <c r="U13" s="24">
        <v>51800000</v>
      </c>
      <c r="V13" s="24">
        <v>51900000</v>
      </c>
      <c r="W13" s="24">
        <v>52000000</v>
      </c>
      <c r="X13" s="24">
        <v>52100000</v>
      </c>
      <c r="Y13" s="24">
        <v>52200000</v>
      </c>
      <c r="Z13" s="24">
        <v>52300000</v>
      </c>
      <c r="AA13" s="24">
        <v>52400000</v>
      </c>
      <c r="AB13" s="24">
        <v>52500000</v>
      </c>
      <c r="AC13" s="24">
        <v>52600000</v>
      </c>
      <c r="AD13" s="24">
        <v>52700000</v>
      </c>
      <c r="AE13" s="24">
        <v>52800000</v>
      </c>
      <c r="AF13" s="24">
        <v>52900000</v>
      </c>
      <c r="AG13" s="24">
        <v>53000000</v>
      </c>
      <c r="AH13" s="24">
        <v>53100000</v>
      </c>
      <c r="AI13" s="24">
        <v>53200000</v>
      </c>
      <c r="AJ13" s="24">
        <v>53300000</v>
      </c>
      <c r="AK13" s="24">
        <v>53400000</v>
      </c>
      <c r="AL13" s="25">
        <v>51700000</v>
      </c>
    </row>
    <row r="14" ht="15.75" customHeight="1" spans="1:38" x14ac:dyDescent="0.25">
      <c r="A14" s="22">
        <v>2</v>
      </c>
      <c r="B14" s="23" t="s">
        <v>45</v>
      </c>
      <c r="C14" s="26">
        <f>0.05*C13</f>
        <v>0</v>
      </c>
      <c r="D14" s="26">
        <f t="shared" ref="D14:AF14" si="0">0.05*D13</f>
        <v>0</v>
      </c>
      <c r="E14" s="26">
        <f t="shared" si="0"/>
        <v>0</v>
      </c>
      <c r="F14" s="26">
        <f t="shared" si="0"/>
        <v>0</v>
      </c>
      <c r="G14" s="26">
        <f t="shared" si="0"/>
        <v>0</v>
      </c>
      <c r="H14" s="26">
        <f t="shared" si="0"/>
        <v>0</v>
      </c>
      <c r="I14" s="26">
        <f t="shared" si="0"/>
        <v>0</v>
      </c>
      <c r="J14" s="26">
        <f t="shared" si="0"/>
        <v>0</v>
      </c>
      <c r="K14" s="26">
        <f t="shared" si="0"/>
        <v>0</v>
      </c>
      <c r="L14" s="26">
        <f t="shared" si="0"/>
        <v>0</v>
      </c>
      <c r="M14" s="26">
        <f t="shared" si="0"/>
        <v>0</v>
      </c>
      <c r="N14" s="26">
        <f t="shared" si="0"/>
        <v>0</v>
      </c>
      <c r="O14" s="26">
        <f t="shared" si="0"/>
        <v>0</v>
      </c>
      <c r="P14" s="26">
        <f t="shared" si="0"/>
        <v>0</v>
      </c>
      <c r="Q14" s="26">
        <f t="shared" si="0"/>
        <v>0</v>
      </c>
      <c r="R14" s="26">
        <f t="shared" si="0"/>
        <v>0</v>
      </c>
      <c r="S14" s="26">
        <f t="shared" si="0"/>
        <v>0</v>
      </c>
      <c r="T14" s="26">
        <f t="shared" si="0"/>
        <v>0</v>
      </c>
      <c r="U14" s="26">
        <f t="shared" si="0"/>
        <v>0</v>
      </c>
      <c r="V14" s="26">
        <f t="shared" si="0"/>
        <v>0</v>
      </c>
      <c r="W14" s="26">
        <f t="shared" si="0"/>
        <v>0</v>
      </c>
      <c r="X14" s="26">
        <f t="shared" si="0"/>
        <v>0</v>
      </c>
      <c r="Y14" s="26">
        <f t="shared" si="0"/>
        <v>0</v>
      </c>
      <c r="Z14" s="26">
        <f t="shared" si="0"/>
        <v>0</v>
      </c>
      <c r="AA14" s="26">
        <f t="shared" si="0"/>
        <v>0</v>
      </c>
      <c r="AB14" s="26">
        <f t="shared" si="0"/>
        <v>0</v>
      </c>
      <c r="AC14" s="26">
        <f t="shared" si="0"/>
        <v>0</v>
      </c>
      <c r="AD14" s="26">
        <f t="shared" si="0"/>
        <v>0</v>
      </c>
      <c r="AE14" s="26">
        <f t="shared" si="0"/>
        <v>0</v>
      </c>
      <c r="AF14" s="26">
        <f t="shared" si="0"/>
        <v>0</v>
      </c>
      <c r="AG14" s="26">
        <f>0.05*AG13</f>
        <v>0</v>
      </c>
      <c r="AH14" s="26">
        <f>0.05*AH13</f>
        <v>0</v>
      </c>
      <c r="AI14" s="26">
        <f>0.05*AI13</f>
        <v>0</v>
      </c>
      <c r="AJ14" s="26">
        <f>0.05*AJ13</f>
        <v>0</v>
      </c>
      <c r="AK14" s="26">
        <f>0.05*AK13</f>
        <v>0</v>
      </c>
      <c r="AL14" s="25" t="e">
        <f t="shared" ref="AL14:AL15" si="1">SUM(C14:AK14)/COUNTIFS(C14:AK14,"&gt;0")+COUNTIFS(C14:AK14,"&lt;0")</f>
        <v>#DIV/0!</v>
      </c>
    </row>
    <row r="15" ht="18" customHeight="1" spans="1:38" x14ac:dyDescent="0.25">
      <c r="A15" s="22">
        <v>3</v>
      </c>
      <c r="B15" s="27" t="s">
        <v>46</v>
      </c>
      <c r="C15" s="24">
        <v>3000000</v>
      </c>
      <c r="D15" s="24">
        <v>3010000</v>
      </c>
      <c r="E15" s="24">
        <v>3020000</v>
      </c>
      <c r="F15" s="24">
        <v>3030000</v>
      </c>
      <c r="G15" s="24">
        <v>3040000</v>
      </c>
      <c r="H15" s="24">
        <v>3050000</v>
      </c>
      <c r="I15" s="24">
        <v>3060000</v>
      </c>
      <c r="J15" s="24">
        <v>3070000</v>
      </c>
      <c r="K15" s="24">
        <v>3080000</v>
      </c>
      <c r="L15" s="24">
        <v>3090000</v>
      </c>
      <c r="M15" s="24">
        <v>3100000</v>
      </c>
      <c r="N15" s="24">
        <v>3110000</v>
      </c>
      <c r="O15" s="24">
        <v>3120000</v>
      </c>
      <c r="P15" s="24">
        <v>3130000</v>
      </c>
      <c r="Q15" s="24">
        <v>3140000</v>
      </c>
      <c r="R15" s="24">
        <v>3150000</v>
      </c>
      <c r="S15" s="24">
        <v>3160000</v>
      </c>
      <c r="T15" s="24">
        <v>3170000</v>
      </c>
      <c r="U15" s="24">
        <v>3180000</v>
      </c>
      <c r="V15" s="24">
        <v>3190000</v>
      </c>
      <c r="W15" s="24">
        <v>3200000</v>
      </c>
      <c r="X15" s="24">
        <v>3210000</v>
      </c>
      <c r="Y15" s="24">
        <v>3220000</v>
      </c>
      <c r="Z15" s="24">
        <v>3230000</v>
      </c>
      <c r="AA15" s="24">
        <v>3240000</v>
      </c>
      <c r="AB15" s="24">
        <v>3250000</v>
      </c>
      <c r="AC15" s="24">
        <v>3260000</v>
      </c>
      <c r="AD15" s="24">
        <v>3270000</v>
      </c>
      <c r="AE15" s="24">
        <v>3280000</v>
      </c>
      <c r="AF15" s="24">
        <v>3290000</v>
      </c>
      <c r="AG15" s="24">
        <v>3300000</v>
      </c>
      <c r="AH15" s="24">
        <v>3310000</v>
      </c>
      <c r="AI15" s="24">
        <v>3320000</v>
      </c>
      <c r="AJ15" s="24">
        <v>3330000</v>
      </c>
      <c r="AK15" s="24">
        <v>3340000</v>
      </c>
      <c r="AL15" s="25">
        <v>3170000</v>
      </c>
    </row>
    <row r="16" ht="15.75" customHeight="1" spans="1:38" x14ac:dyDescent="0.25">
      <c r="A16" s="22">
        <v>4</v>
      </c>
      <c r="B16" s="23" t="s">
        <v>47</v>
      </c>
      <c r="C16" s="26">
        <f>C15-C14</f>
        <v>0</v>
      </c>
      <c r="D16" s="26">
        <f t="shared" ref="D16:AF16" si="2">D15-D14</f>
        <v>0</v>
      </c>
      <c r="E16" s="26">
        <f t="shared" si="2"/>
        <v>0</v>
      </c>
      <c r="F16" s="26">
        <f t="shared" si="2"/>
        <v>0</v>
      </c>
      <c r="G16" s="26">
        <f t="shared" si="2"/>
        <v>0</v>
      </c>
      <c r="H16" s="26">
        <f t="shared" si="2"/>
        <v>0</v>
      </c>
      <c r="I16" s="26">
        <f t="shared" si="2"/>
        <v>0</v>
      </c>
      <c r="J16" s="26">
        <f t="shared" si="2"/>
        <v>0</v>
      </c>
      <c r="K16" s="26">
        <f t="shared" si="2"/>
        <v>0</v>
      </c>
      <c r="L16" s="26">
        <f t="shared" si="2"/>
        <v>0</v>
      </c>
      <c r="M16" s="26">
        <f t="shared" si="2"/>
        <v>0</v>
      </c>
      <c r="N16" s="26">
        <f t="shared" si="2"/>
        <v>0</v>
      </c>
      <c r="O16" s="26">
        <f t="shared" si="2"/>
        <v>0</v>
      </c>
      <c r="P16" s="26">
        <f t="shared" si="2"/>
        <v>0</v>
      </c>
      <c r="Q16" s="26">
        <f t="shared" si="2"/>
        <v>0</v>
      </c>
      <c r="R16" s="26">
        <f t="shared" si="2"/>
        <v>0</v>
      </c>
      <c r="S16" s="26">
        <f t="shared" si="2"/>
        <v>0</v>
      </c>
      <c r="T16" s="26">
        <f t="shared" si="2"/>
        <v>0</v>
      </c>
      <c r="U16" s="26">
        <f t="shared" si="2"/>
        <v>0</v>
      </c>
      <c r="V16" s="26">
        <f t="shared" si="2"/>
        <v>0</v>
      </c>
      <c r="W16" s="26">
        <f t="shared" si="2"/>
        <v>0</v>
      </c>
      <c r="X16" s="26">
        <f t="shared" si="2"/>
        <v>0</v>
      </c>
      <c r="Y16" s="26">
        <f t="shared" si="2"/>
        <v>0</v>
      </c>
      <c r="Z16" s="26">
        <f t="shared" si="2"/>
        <v>0</v>
      </c>
      <c r="AA16" s="26">
        <f t="shared" si="2"/>
        <v>0</v>
      </c>
      <c r="AB16" s="26">
        <f t="shared" si="2"/>
        <v>0</v>
      </c>
      <c r="AC16" s="26">
        <f t="shared" si="2"/>
        <v>0</v>
      </c>
      <c r="AD16" s="26">
        <f t="shared" si="2"/>
        <v>0</v>
      </c>
      <c r="AE16" s="26">
        <f t="shared" si="2"/>
        <v>0</v>
      </c>
      <c r="AF16" s="26">
        <f t="shared" si="2"/>
        <v>0</v>
      </c>
      <c r="AG16" s="26">
        <f t="shared" ref="AG16:AL16" si="3">AG15-AG14</f>
        <v>0</v>
      </c>
      <c r="AH16" s="26">
        <f t="shared" si="3"/>
        <v>0</v>
      </c>
      <c r="AI16" s="26">
        <f t="shared" si="3"/>
        <v>0</v>
      </c>
      <c r="AJ16" s="26">
        <f t="shared" si="3"/>
        <v>0</v>
      </c>
      <c r="AK16" s="26">
        <f t="shared" si="3"/>
        <v>0</v>
      </c>
      <c r="AL16" s="26" t="e">
        <f t="shared" si="3"/>
        <v>#DIV/0!</v>
      </c>
    </row>
    <row r="17" ht="18.75" customHeight="1" spans="1:38" x14ac:dyDescent="0.25">
      <c r="A17" s="28">
        <v>5</v>
      </c>
      <c r="B17" s="29" t="s">
        <v>48</v>
      </c>
      <c r="C17" s="30">
        <f>IF(ISERROR(C15/C13),0,C15/C13)</f>
        <v>0</v>
      </c>
      <c r="D17" s="30">
        <f t="shared" ref="D17:AK17" si="4">IF(ISERROR(D15/D13),0,D15/D13)</f>
        <v>0</v>
      </c>
      <c r="E17" s="30">
        <f t="shared" si="4"/>
        <v>0</v>
      </c>
      <c r="F17" s="30">
        <f t="shared" si="4"/>
        <v>0</v>
      </c>
      <c r="G17" s="30">
        <f t="shared" si="4"/>
        <v>0</v>
      </c>
      <c r="H17" s="30">
        <f t="shared" si="4"/>
        <v>0</v>
      </c>
      <c r="I17" s="30">
        <f t="shared" si="4"/>
        <v>0</v>
      </c>
      <c r="J17" s="30">
        <f t="shared" si="4"/>
        <v>0</v>
      </c>
      <c r="K17" s="30">
        <f t="shared" si="4"/>
        <v>0</v>
      </c>
      <c r="L17" s="30">
        <f t="shared" si="4"/>
        <v>0</v>
      </c>
      <c r="M17" s="30">
        <f t="shared" si="4"/>
        <v>0</v>
      </c>
      <c r="N17" s="30">
        <f t="shared" si="4"/>
        <v>0</v>
      </c>
      <c r="O17" s="30">
        <f t="shared" si="4"/>
        <v>0</v>
      </c>
      <c r="P17" s="30">
        <f t="shared" si="4"/>
        <v>0</v>
      </c>
      <c r="Q17" s="30">
        <f t="shared" si="4"/>
        <v>0</v>
      </c>
      <c r="R17" s="30">
        <f t="shared" si="4"/>
        <v>0</v>
      </c>
      <c r="S17" s="30">
        <f t="shared" si="4"/>
        <v>0</v>
      </c>
      <c r="T17" s="30">
        <f t="shared" si="4"/>
        <v>0</v>
      </c>
      <c r="U17" s="30">
        <f t="shared" si="4"/>
        <v>0</v>
      </c>
      <c r="V17" s="30">
        <f t="shared" si="4"/>
        <v>0</v>
      </c>
      <c r="W17" s="30">
        <f t="shared" si="4"/>
        <v>0</v>
      </c>
      <c r="X17" s="30">
        <f t="shared" si="4"/>
        <v>0</v>
      </c>
      <c r="Y17" s="30">
        <f t="shared" si="4"/>
        <v>0</v>
      </c>
      <c r="Z17" s="30">
        <f t="shared" si="4"/>
        <v>0</v>
      </c>
      <c r="AA17" s="30">
        <f t="shared" si="4"/>
        <v>0</v>
      </c>
      <c r="AB17" s="30">
        <f t="shared" si="4"/>
        <v>0</v>
      </c>
      <c r="AC17" s="30">
        <f t="shared" si="4"/>
        <v>0</v>
      </c>
      <c r="AD17" s="30">
        <f t="shared" si="4"/>
        <v>0</v>
      </c>
      <c r="AE17" s="30">
        <f t="shared" si="4"/>
        <v>0</v>
      </c>
      <c r="AF17" s="30">
        <f t="shared" si="4"/>
        <v>0</v>
      </c>
      <c r="AG17" s="30">
        <f t="shared" si="4"/>
        <v>0</v>
      </c>
      <c r="AH17" s="30">
        <f t="shared" si="4"/>
        <v>0</v>
      </c>
      <c r="AI17" s="30">
        <f t="shared" si="4"/>
        <v>0</v>
      </c>
      <c r="AJ17" s="30">
        <f t="shared" si="4"/>
        <v>0</v>
      </c>
      <c r="AK17" s="30">
        <f t="shared" si="4"/>
        <v>0</v>
      </c>
      <c r="AL17" s="30">
        <f>IF(ISERROR(AL15/AL13),0,AL15/AL13)</f>
        <v>0</v>
      </c>
    </row>
    <row r="18" ht="18.75" customHeight="1" spans="1:38" x14ac:dyDescent="0.25">
      <c r="A18" s="31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</row>
    <row r="19" ht="18.75" customHeight="1" spans="1:38" x14ac:dyDescent="0.25">
      <c r="A19" s="34" t="s">
        <v>49</v>
      </c>
      <c r="B19" s="35" t="s">
        <v>50</v>
      </c>
      <c r="C19" s="36"/>
      <c r="D19" s="36"/>
      <c r="E19" s="36"/>
      <c r="F19" s="36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3"/>
    </row>
    <row r="20" ht="15.75" customHeight="1" spans="1:38" x14ac:dyDescent="0.25">
      <c r="A20" s="38" t="s">
        <v>51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40"/>
    </row>
    <row r="21" ht="15.75" customHeight="1" spans="1:38" x14ac:dyDescent="0.25">
      <c r="A21" s="38" t="s">
        <v>52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12"/>
    </row>
    <row r="22" ht="15.75" customHeight="1" spans="1:37" x14ac:dyDescent="0.25">
      <c r="A22" s="38" t="s">
        <v>53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2"/>
      <c r="N22" s="42"/>
      <c r="O22" s="4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ht="15.75" customHeight="1" spans="1:3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</sheetData>
  <sheetProtection sheet="1" objects="1" scenarios="1"/>
  <mergeCells count="6">
    <mergeCell ref="A3:AL6"/>
    <mergeCell ref="A7:B7"/>
    <mergeCell ref="A8:B8"/>
    <mergeCell ref="A9:B9"/>
    <mergeCell ref="A10:B10"/>
    <mergeCell ref="AE11:AL11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5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Abebe Teklu W/Agegnehu</cp:lastModifiedBy>
  <dcterms:created xsi:type="dcterms:W3CDTF">2025-12-31T05:19:32Z</dcterms:created>
  <dcterms:modified xsi:type="dcterms:W3CDTF">2026-08-28T07:23:42Z</dcterms:modified>
</cp:coreProperties>
</file>