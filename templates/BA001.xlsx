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E_INCO_BA001" state="visible" r:id="rId4"/>
  </sheets>
  <calcPr calcId="171027" fullCalcOnLoad="1"/>
</workbook>
</file>

<file path=xl/sharedStrings.xml><?xml version="1.0" encoding="utf-8"?>
<sst xmlns="http://schemas.openxmlformats.org/spreadsheetml/2006/main" count="83" uniqueCount="80">
  <si>
    <t>BRE_INCO_BA001</t>
  </si>
  <si>
    <t>Breakdown of Income Accounts</t>
  </si>
  <si>
    <t>Instiution code</t>
  </si>
  <si>
    <t>0000001</t>
  </si>
  <si>
    <t>Financial Year</t>
  </si>
  <si>
    <t>Start Date</t>
  </si>
  <si>
    <t>2026-07-01</t>
  </si>
  <si>
    <t>End Date</t>
  </si>
  <si>
    <t>2026-09-30</t>
  </si>
  <si>
    <t>In Millions of Birr</t>
  </si>
  <si>
    <t>Code</t>
  </si>
  <si>
    <t>Description</t>
  </si>
  <si>
    <t>Amount</t>
  </si>
  <si>
    <t>1</t>
  </si>
  <si>
    <t>Interest income (1.1+1.2)</t>
  </si>
  <si>
    <t>1.1</t>
  </si>
  <si>
    <t>Domestic (sum 1.1.1-1.1.7)</t>
  </si>
  <si>
    <t>1.1.1</t>
  </si>
  <si>
    <t>Loans (sum1.1.1.1-1.1.1.3)</t>
  </si>
  <si>
    <t>1.1.1.1</t>
  </si>
  <si>
    <t>Banks</t>
  </si>
  <si>
    <t>1.1.1.2</t>
  </si>
  <si>
    <t>Non-bank financial institutions</t>
  </si>
  <si>
    <t>1.1.1.3</t>
  </si>
  <si>
    <t>Others</t>
  </si>
  <si>
    <t>1.1.2</t>
  </si>
  <si>
    <t>Federal government bonds</t>
  </si>
  <si>
    <t>1.1.3</t>
  </si>
  <si>
    <t>Treasury bills</t>
  </si>
  <si>
    <t>1.1.4</t>
  </si>
  <si>
    <t>NBE bills</t>
  </si>
  <si>
    <t>1.1.5</t>
  </si>
  <si>
    <t>DBE-Bonds</t>
  </si>
  <si>
    <t>1.1.6</t>
  </si>
  <si>
    <t>Corporate bonds</t>
  </si>
  <si>
    <t>1.1.7</t>
  </si>
  <si>
    <t>1.2</t>
  </si>
  <si>
    <t>Foreign (sum 1.2.1-1.2.3)</t>
  </si>
  <si>
    <t>1.2.1</t>
  </si>
  <si>
    <t>Income on correspondent accounts</t>
  </si>
  <si>
    <t>1.2.2</t>
  </si>
  <si>
    <t>Securities</t>
  </si>
  <si>
    <t>1.2.3</t>
  </si>
  <si>
    <t>Call accounts</t>
  </si>
  <si>
    <t>2</t>
  </si>
  <si>
    <t>Service charges and commissions (sum 2.1-2.8)</t>
  </si>
  <si>
    <t>2.1</t>
  </si>
  <si>
    <t>Commission income</t>
  </si>
  <si>
    <t>2.2</t>
  </si>
  <si>
    <t>Letters of guarantee</t>
  </si>
  <si>
    <t>2.3</t>
  </si>
  <si>
    <t>Letters of credit</t>
  </si>
  <si>
    <t>2.4</t>
  </si>
  <si>
    <t>Documentary collection</t>
  </si>
  <si>
    <t>2.5</t>
  </si>
  <si>
    <t>Foreign exchange transfers</t>
  </si>
  <si>
    <t>2.6</t>
  </si>
  <si>
    <t>Local transfers</t>
  </si>
  <si>
    <t>2.7</t>
  </si>
  <si>
    <t>Negotiation of cheques, CPOs</t>
  </si>
  <si>
    <t>2.8</t>
  </si>
  <si>
    <t>3</t>
  </si>
  <si>
    <t>Other income (sum 3.1-3.6)</t>
  </si>
  <si>
    <t>3.1</t>
  </si>
  <si>
    <t>Postage, telegram, telephone, telex, swift</t>
  </si>
  <si>
    <t>3.2</t>
  </si>
  <si>
    <t>Foreign exchange trading  and  fluctuation gains (3.2.1+3.2.2)</t>
  </si>
  <si>
    <t>3.2.1</t>
  </si>
  <si>
    <t>Foreign exchange trading</t>
  </si>
  <si>
    <t>3.2.2</t>
  </si>
  <si>
    <t>Foreign exchange  fluctuation gains</t>
  </si>
  <si>
    <t>3.3</t>
  </si>
  <si>
    <t>Transfer from specific loan provisions</t>
  </si>
  <si>
    <t>3.4</t>
  </si>
  <si>
    <t>Extraordinary income</t>
  </si>
  <si>
    <t>3.5</t>
  </si>
  <si>
    <t>Bad debts collected</t>
  </si>
  <si>
    <t>3.6</t>
  </si>
  <si>
    <t>4</t>
  </si>
  <si>
    <t>Total income earned (sum 1-3)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</si>
</sst>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sz val="9"/>
      <name val="Arial"/>
    </font>
    <font>
      <b/>
      <color rgb="FFFF0000"/>
      <sz val="16"/>
      <name val="Arial"/>
    </font>
    <font>
      <b/>
      <sz val="10"/>
      <name val="Arial"/>
    </font>
    <font>
      <sz val="10"/>
      <name val="Arial"/>
    </font>
    <font>
      <b/>
      <sz val="11"/>
      <name val="Arial"/>
    </font>
  </fonts>
  <fills count="7">
    <fill>
      <patternFill patternType="none"/>
    </fill>
    <fill>
      <patternFill patternType="gray125"/>
    </fill>
    <fill>
      <patternFill patternType="solid">
        <fgColor rgb="FFFCE4D6"/>
      </patternFill>
    </fill>
    <fill>
      <patternFill patternType="solid">
        <fgColor rgb="FFF8CBAD"/>
      </patternFill>
    </fill>
    <fill>
      <patternFill patternType="solid">
        <fgColor rgb="FFFFFF00"/>
      </patternFill>
    </fill>
    <fill>
      <patternFill patternType="solid">
        <fgColor rgb="FFD9D9D9"/>
      </patternFill>
    </fill>
    <fill>
      <patternFill patternType="solid">
        <fgColor rgb="FFFFEB9C"/>
      </patternFill>
    </fill>
  </fills>
  <borders count="16">
    <border>
      <left/>
      <right/>
      <top/>
      <bottom/>
      <diagonal/>
    </border>
    <border>
      <left/>
      <right style="medium">
        <color rgb="FF7030A0"/>
      </right>
      <top/>
      <bottom style="medium">
        <color rgb="FF7030A0"/>
      </bottom>
      <diagonal/>
    </border>
    <border>
      <left style="thin">
        <color rgb="FF000000"/>
      </left>
      <right style="thin">
        <color rgb="FF000000"/>
      </right>
      <top style="medium">
        <color rgb="FF548235"/>
      </top>
      <bottom style="thin">
        <color rgb="FF000000"/>
      </bottom>
      <diagonal/>
    </border>
    <border>
      <left style="thin">
        <color rgb="FF000000"/>
      </left>
      <right style="medium">
        <color rgb="FF548235"/>
      </right>
      <top style="medium">
        <color rgb="FF548235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548235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548235"/>
      </bottom>
      <diagonal/>
    </border>
    <border>
      <left style="thin">
        <color rgb="FF000000"/>
      </left>
      <right style="medium">
        <color rgb="FF548235"/>
      </right>
      <top style="thin">
        <color rgb="FF000000"/>
      </top>
      <bottom style="medium">
        <color rgb="FF548235"/>
      </bottom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/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/>
      <right/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left" vertical="center"/>
    </xf>
    <xf numFmtId="0" fontId="4" fillId="3" borderId="3" xfId="0" applyFont="1" applyFill="1" applyBorder="1" applyAlignment="1">
      <alignment horizontal="right" vertical="center"/>
    </xf>
    <xf numFmtId="0" fontId="3" fillId="2" borderId="4" xfId="0" applyFont="1" applyFill="1" applyBorder="1" applyAlignment="1">
      <alignment horizontal="left" vertical="center"/>
    </xf>
    <xf numFmtId="0" fontId="4" fillId="3" borderId="5" xfId="0" applyFont="1" applyFill="1" applyBorder="1" applyAlignment="1">
      <alignment horizontal="right" vertical="center"/>
    </xf>
    <xf numFmtId="0" fontId="3" fillId="2" borderId="6" xfId="0" applyFont="1" applyFill="1" applyBorder="1" applyAlignment="1">
      <alignment horizontal="left" vertical="center"/>
    </xf>
    <xf numFmtId="0" fontId="4" fillId="3" borderId="7" xfId="0" applyFont="1" applyFill="1" applyBorder="1" applyAlignment="1">
      <alignment horizontal="right" vertical="center"/>
    </xf>
    <xf numFmtId="0" fontId="3" fillId="4" borderId="0" xfId="0" applyFont="1" applyFill="1" applyAlignment="1">
      <alignment horizontal="center" vertical="center"/>
    </xf>
    <xf numFmtId="0" fontId="5" fillId="5" borderId="8" xfId="0" applyFont="1" applyFill="1" applyBorder="1" applyAlignment="1">
      <alignment horizontal="center" vertical="center"/>
    </xf>
    <xf numFmtId="0" fontId="5" fillId="5" borderId="9" xfId="0" applyFont="1" applyFill="1" applyBorder="1" applyAlignment="1">
      <alignment horizontal="center" vertical="center"/>
    </xf>
    <xf numFmtId="0" fontId="5" fillId="5" borderId="10" xfId="0" applyFont="1" applyFill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4" fontId="3" fillId="0" borderId="12" xfId="0" applyNumberFormat="1" applyFont="1" applyBorder="1" applyAlignment="1">
      <alignment horizontal="right" vertical="center"/>
    </xf>
    <xf numFmtId="0" fontId="4" fillId="0" borderId="11" xfId="0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4" fontId="4" fillId="0" borderId="12" xfId="0" applyNumberFormat="1" applyFont="1" applyBorder="1" applyAlignment="1">
      <alignment horizontal="right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left" vertical="center"/>
    </xf>
    <xf numFmtId="4" fontId="3" fillId="6" borderId="15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 outlineLevelRow="0" outlineLevelCol="0" x14ac:dyDescent="55"/>
  <cols>
    <col min="1" max="1" width="12" customWidth="1"/>
    <col min="2" max="2" width="65" customWidth="1"/>
    <col min="3" max="3" width="22" customWidth="1"/>
  </cols>
  <sheetData>
    <row r="1" spans="1:1" x14ac:dyDescent="0.25">
      <c r="A1" s="1" t="s">
        <v>0</v>
      </c>
    </row>
    <row r="4" spans="1:3" x14ac:dyDescent="0.25">
      <c r="A4" s="2" t="s">
        <v>1</v>
      </c>
      <c r="B4" s="2"/>
      <c r="C4" s="2"/>
    </row>
    <row r="5" spans="1:3" x14ac:dyDescent="0.25">
      <c r="A5" s="2"/>
      <c r="B5" s="2"/>
      <c r="C5" s="2"/>
    </row>
    <row r="6" spans="1:3" x14ac:dyDescent="0.25">
      <c r="A6" s="2"/>
      <c r="B6" s="2"/>
      <c r="C6" s="2"/>
    </row>
    <row r="7" spans="1:3" x14ac:dyDescent="0.25">
      <c r="A7" s="2"/>
      <c r="B7" s="2"/>
      <c r="C7" s="2"/>
    </row>
    <row r="8" spans="1:3" x14ac:dyDescent="0.25">
      <c r="A8" s="3" t="s">
        <v>2</v>
      </c>
      <c r="B8" s="3"/>
      <c r="C8" s="4" t="s">
        <v>3</v>
      </c>
    </row>
    <row r="9" spans="1:3" x14ac:dyDescent="0.25">
      <c r="A9" s="5" t="s">
        <v>4</v>
      </c>
      <c r="B9" s="5"/>
      <c r="C9" s="6">
        <v>2026</v>
      </c>
    </row>
    <row r="10" spans="1:3" x14ac:dyDescent="0.25">
      <c r="A10" s="5" t="s">
        <v>5</v>
      </c>
      <c r="B10" s="5"/>
      <c r="C10" s="6" t="s">
        <v>6</v>
      </c>
    </row>
    <row r="11" spans="1:3" x14ac:dyDescent="0.25">
      <c r="A11" s="7" t="s">
        <v>7</v>
      </c>
      <c r="B11" s="7"/>
      <c r="C11" s="8" t="s">
        <v>8</v>
      </c>
    </row>
    <row r="13" spans="3:3" x14ac:dyDescent="0.25">
      <c r="C13" s="9" t="s">
        <v>9</v>
      </c>
    </row>
    <row r="14" spans="1:3" x14ac:dyDescent="0.25">
      <c r="A14" s="10" t="s">
        <v>10</v>
      </c>
      <c r="B14" s="11" t="s">
        <v>11</v>
      </c>
      <c r="C14" s="12" t="s">
        <v>12</v>
      </c>
    </row>
    <row r="15" spans="1:3" x14ac:dyDescent="0.25">
      <c r="A15" s="13" t="s">
        <v>13</v>
      </c>
      <c r="B15" s="14" t="s">
        <v>14</v>
      </c>
      <c r="C15" s="15">
        <f>C16+C27</f>
      </c>
    </row>
    <row r="16" spans="1:3" x14ac:dyDescent="0.25">
      <c r="A16" s="13" t="s">
        <v>15</v>
      </c>
      <c r="B16" s="14" t="s">
        <v>16</v>
      </c>
      <c r="C16" s="15">
        <f>C17+C21+C22+C23+C24+C25+C26</f>
      </c>
    </row>
    <row r="17" spans="1:3" x14ac:dyDescent="0.25">
      <c r="A17" s="13" t="s">
        <v>17</v>
      </c>
      <c r="B17" s="14" t="s">
        <v>18</v>
      </c>
      <c r="C17" s="15">
        <f>SUM(C18:C20)</f>
      </c>
    </row>
    <row r="18" spans="1:3" x14ac:dyDescent="0.25">
      <c r="A18" s="16" t="s">
        <v>19</v>
      </c>
      <c r="B18" s="17" t="s">
        <v>20</v>
      </c>
      <c r="C18" s="18"/>
    </row>
    <row r="19" spans="1:3" x14ac:dyDescent="0.25">
      <c r="A19" s="16" t="s">
        <v>21</v>
      </c>
      <c r="B19" s="17" t="s">
        <v>22</v>
      </c>
      <c r="C19" s="18">
        <v>116.11</v>
      </c>
    </row>
    <row r="20" spans="1:3" x14ac:dyDescent="0.25">
      <c r="A20" s="16" t="s">
        <v>23</v>
      </c>
      <c r="B20" s="17" t="s">
        <v>24</v>
      </c>
      <c r="C20" s="18">
        <v>23690.56</v>
      </c>
    </row>
    <row r="21" spans="1:3" x14ac:dyDescent="0.25">
      <c r="A21" s="16" t="s">
        <v>25</v>
      </c>
      <c r="B21" s="17" t="s">
        <v>26</v>
      </c>
      <c r="C21" s="18">
        <v>22302.46</v>
      </c>
    </row>
    <row r="22" spans="1:3" x14ac:dyDescent="0.25">
      <c r="A22" s="16" t="s">
        <v>27</v>
      </c>
      <c r="B22" s="17" t="s">
        <v>28</v>
      </c>
      <c r="C22" s="18">
        <v>4947.75</v>
      </c>
    </row>
    <row r="23" spans="1:3" x14ac:dyDescent="0.25">
      <c r="A23" s="16" t="s">
        <v>29</v>
      </c>
      <c r="B23" s="17" t="s">
        <v>30</v>
      </c>
      <c r="C23" s="18"/>
    </row>
    <row r="24" spans="1:3" x14ac:dyDescent="0.25">
      <c r="A24" s="16" t="s">
        <v>31</v>
      </c>
      <c r="B24" s="17" t="s">
        <v>32</v>
      </c>
      <c r="C24" s="18">
        <v>2101.18</v>
      </c>
    </row>
    <row r="25" spans="1:3" x14ac:dyDescent="0.25">
      <c r="A25" s="16" t="s">
        <v>33</v>
      </c>
      <c r="B25" s="17" t="s">
        <v>34</v>
      </c>
      <c r="C25" s="18"/>
    </row>
    <row r="26" spans="1:3" x14ac:dyDescent="0.25">
      <c r="A26" s="16" t="s">
        <v>35</v>
      </c>
      <c r="B26" s="17" t="s">
        <v>24</v>
      </c>
      <c r="C26" s="18">
        <v>395.48</v>
      </c>
    </row>
    <row r="27" spans="1:3" x14ac:dyDescent="0.25">
      <c r="A27" s="13" t="s">
        <v>36</v>
      </c>
      <c r="B27" s="14" t="s">
        <v>37</v>
      </c>
      <c r="C27" s="15">
        <f>SUM(C28:C30)</f>
      </c>
    </row>
    <row r="28" spans="1:3" x14ac:dyDescent="0.25">
      <c r="A28" s="16" t="s">
        <v>38</v>
      </c>
      <c r="B28" s="17" t="s">
        <v>39</v>
      </c>
      <c r="C28" s="18">
        <v>694.24</v>
      </c>
    </row>
    <row r="29" spans="1:3" x14ac:dyDescent="0.25">
      <c r="A29" s="16" t="s">
        <v>40</v>
      </c>
      <c r="B29" s="17" t="s">
        <v>41</v>
      </c>
      <c r="C29" s="18"/>
    </row>
    <row r="30" spans="1:3" x14ac:dyDescent="0.25">
      <c r="A30" s="16" t="s">
        <v>42</v>
      </c>
      <c r="B30" s="17" t="s">
        <v>43</v>
      </c>
      <c r="C30" s="18"/>
    </row>
    <row r="31" spans="1:3" x14ac:dyDescent="0.25">
      <c r="A31" s="13" t="s">
        <v>44</v>
      </c>
      <c r="B31" s="14" t="s">
        <v>45</v>
      </c>
      <c r="C31" s="15">
        <f>SUM(C32:C39)</f>
      </c>
    </row>
    <row r="32" spans="1:3" x14ac:dyDescent="0.25">
      <c r="A32" s="16" t="s">
        <v>46</v>
      </c>
      <c r="B32" s="17" t="s">
        <v>47</v>
      </c>
      <c r="C32" s="18">
        <v>2700.08</v>
      </c>
    </row>
    <row r="33" spans="1:3" x14ac:dyDescent="0.25">
      <c r="A33" s="16" t="s">
        <v>48</v>
      </c>
      <c r="B33" s="17" t="s">
        <v>49</v>
      </c>
      <c r="C33" s="18">
        <v>554.55</v>
      </c>
    </row>
    <row r="34" spans="1:3" x14ac:dyDescent="0.25">
      <c r="A34" s="16" t="s">
        <v>50</v>
      </c>
      <c r="B34" s="17" t="s">
        <v>51</v>
      </c>
      <c r="C34" s="18">
        <v>8056.86</v>
      </c>
    </row>
    <row r="35" spans="1:3" x14ac:dyDescent="0.25">
      <c r="A35" s="16" t="s">
        <v>52</v>
      </c>
      <c r="B35" s="17" t="s">
        <v>53</v>
      </c>
      <c r="C35" s="18"/>
    </row>
    <row r="36" spans="1:3" x14ac:dyDescent="0.25">
      <c r="A36" s="16" t="s">
        <v>54</v>
      </c>
      <c r="B36" s="17" t="s">
        <v>55</v>
      </c>
      <c r="C36" s="18">
        <v>2210.43</v>
      </c>
    </row>
    <row r="37" spans="1:3" x14ac:dyDescent="0.25">
      <c r="A37" s="16" t="s">
        <v>56</v>
      </c>
      <c r="B37" s="17" t="s">
        <v>57</v>
      </c>
      <c r="C37" s="18">
        <v>698.24</v>
      </c>
    </row>
    <row r="38" spans="1:3" x14ac:dyDescent="0.25">
      <c r="A38" s="16" t="s">
        <v>58</v>
      </c>
      <c r="B38" s="17" t="s">
        <v>59</v>
      </c>
      <c r="C38" s="18">
        <v>15.67</v>
      </c>
    </row>
    <row r="39" spans="1:3" x14ac:dyDescent="0.25">
      <c r="A39" s="16" t="s">
        <v>60</v>
      </c>
      <c r="B39" s="17" t="s">
        <v>24</v>
      </c>
      <c r="C39" s="18">
        <v>2984.32</v>
      </c>
    </row>
    <row r="40" spans="1:3" x14ac:dyDescent="0.25">
      <c r="A40" s="13" t="s">
        <v>61</v>
      </c>
      <c r="B40" s="14" t="s">
        <v>62</v>
      </c>
      <c r="C40" s="15">
        <f>C41+C42+C45+C46+C47+C48</f>
      </c>
    </row>
    <row r="41" spans="1:3" x14ac:dyDescent="0.25">
      <c r="A41" s="16" t="s">
        <v>63</v>
      </c>
      <c r="B41" s="17" t="s">
        <v>64</v>
      </c>
      <c r="C41" s="18">
        <v>7.55</v>
      </c>
    </row>
    <row r="42" spans="1:3" x14ac:dyDescent="0.25">
      <c r="A42" s="13" t="s">
        <v>65</v>
      </c>
      <c r="B42" s="14" t="s">
        <v>66</v>
      </c>
      <c r="C42" s="15">
        <f>C43+C44</f>
      </c>
    </row>
    <row r="43" spans="1:3" x14ac:dyDescent="0.25">
      <c r="A43" s="16" t="s">
        <v>67</v>
      </c>
      <c r="B43" s="17" t="s">
        <v>68</v>
      </c>
      <c r="C43" s="18"/>
    </row>
    <row r="44" spans="1:3" x14ac:dyDescent="0.25">
      <c r="A44" s="16" t="s">
        <v>69</v>
      </c>
      <c r="B44" s="17" t="s">
        <v>70</v>
      </c>
      <c r="C44" s="18">
        <v>2340.84</v>
      </c>
    </row>
    <row r="45" spans="1:3" x14ac:dyDescent="0.25">
      <c r="A45" s="16" t="s">
        <v>71</v>
      </c>
      <c r="B45" s="17" t="s">
        <v>72</v>
      </c>
      <c r="C45" s="18"/>
    </row>
    <row r="46" spans="1:3" x14ac:dyDescent="0.25">
      <c r="A46" s="16" t="s">
        <v>73</v>
      </c>
      <c r="B46" s="17" t="s">
        <v>74</v>
      </c>
      <c r="C46" s="18"/>
    </row>
    <row r="47" spans="1:3" x14ac:dyDescent="0.25">
      <c r="A47" s="16" t="s">
        <v>75</v>
      </c>
      <c r="B47" s="17" t="s">
        <v>76</v>
      </c>
      <c r="C47" s="18"/>
    </row>
    <row r="48" spans="1:3" x14ac:dyDescent="0.25">
      <c r="A48" s="16" t="s">
        <v>77</v>
      </c>
      <c r="B48" s="17" t="s">
        <v>24</v>
      </c>
      <c r="C48" s="18">
        <v>1138.41</v>
      </c>
    </row>
    <row r="49" spans="1:3" x14ac:dyDescent="0.25">
      <c r="A49" s="19" t="s">
        <v>78</v>
      </c>
      <c r="B49" s="20" t="s">
        <v>79</v>
      </c>
      <c r="C49" s="21">
        <f>C15+C31+C40</f>
      </c>
    </row>
  </sheetData>
  <mergeCells count="5">
    <mergeCell ref="A4:C7"/>
    <mergeCell ref="A8:B8"/>
    <mergeCell ref="A9:B9"/>
    <mergeCell ref="A10:B10"/>
    <mergeCell ref="A11:B1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BRE_INCO_BA001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2026-10-02T07:54:07Z</dcterms:created>
  <dcterms:modified xsi:type="dcterms:W3CDTF">2026-10-02T07:54:07Z</dcterms:modified>
</cp:coreProperties>
</file>