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alkidanGetahun\Downloads\"/>
    </mc:Choice>
  </mc:AlternateContent>
  <bookViews>
    <workbookView xWindow="0" yWindow="0" windowWidth="20490" windowHeight="7650"/>
  </bookViews>
  <sheets>
    <sheet name="Open Position" sheetId="1" r:id="rId1"/>
  </sheets>
  <calcPr calcId="162913"/>
</workbook>
</file>

<file path=xl/calcChain.xml><?xml version="1.0" encoding="utf-8"?>
<calcChain xmlns="http://schemas.openxmlformats.org/spreadsheetml/2006/main">
  <c r="W58" i="1" l="1"/>
  <c r="C37" i="1"/>
  <c r="C24" i="1"/>
  <c r="C17" i="1" l="1"/>
  <c r="C31" i="1" l="1"/>
  <c r="C29" i="1"/>
  <c r="D37" i="1"/>
  <c r="E37" i="1"/>
  <c r="F37" i="1"/>
  <c r="G37" i="1"/>
  <c r="H37" i="1"/>
  <c r="I37" i="1"/>
  <c r="J37" i="1"/>
  <c r="K37" i="1"/>
  <c r="L37" i="1"/>
  <c r="M37" i="1"/>
  <c r="N37" i="1"/>
  <c r="O37" i="1"/>
  <c r="P37" i="1"/>
  <c r="Q37" i="1"/>
  <c r="R37" i="1"/>
  <c r="S37" i="1"/>
  <c r="T37" i="1"/>
  <c r="U37" i="1"/>
  <c r="V37" i="1"/>
  <c r="D31" i="1"/>
  <c r="E31" i="1"/>
  <c r="F31" i="1"/>
  <c r="G31" i="1"/>
  <c r="H31" i="1"/>
  <c r="I31" i="1"/>
  <c r="J31" i="1"/>
  <c r="K31" i="1"/>
  <c r="L31" i="1"/>
  <c r="M31" i="1"/>
  <c r="N31" i="1"/>
  <c r="O31" i="1"/>
  <c r="P31" i="1"/>
  <c r="Q31" i="1"/>
  <c r="R31" i="1"/>
  <c r="R44" i="1" s="1"/>
  <c r="S31" i="1"/>
  <c r="T31" i="1"/>
  <c r="U31" i="1"/>
  <c r="V31" i="1"/>
  <c r="D24" i="1"/>
  <c r="E24" i="1"/>
  <c r="F24" i="1"/>
  <c r="G24" i="1"/>
  <c r="H24" i="1"/>
  <c r="I24" i="1"/>
  <c r="J24" i="1"/>
  <c r="K24" i="1"/>
  <c r="L24" i="1"/>
  <c r="M24" i="1"/>
  <c r="N24" i="1"/>
  <c r="O24" i="1"/>
  <c r="P24" i="1"/>
  <c r="Q24" i="1"/>
  <c r="R24" i="1"/>
  <c r="S24" i="1"/>
  <c r="T24" i="1"/>
  <c r="U24" i="1"/>
  <c r="V24" i="1"/>
  <c r="D17" i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Q44" i="1" l="1"/>
  <c r="V29" i="1"/>
  <c r="F44" i="1"/>
  <c r="O29" i="1"/>
  <c r="N29" i="1"/>
  <c r="S44" i="1"/>
  <c r="K44" i="1"/>
  <c r="T29" i="1"/>
  <c r="D29" i="1"/>
  <c r="J44" i="1"/>
  <c r="I29" i="1"/>
  <c r="H29" i="1"/>
  <c r="M44" i="1"/>
  <c r="P29" i="1"/>
  <c r="V44" i="1"/>
  <c r="V47" i="1" s="1"/>
  <c r="V50" i="1" s="1"/>
  <c r="E44" i="1"/>
  <c r="D44" i="1"/>
  <c r="L29" i="1"/>
  <c r="F29" i="1"/>
  <c r="E29" i="1"/>
  <c r="U44" i="1"/>
  <c r="M29" i="1"/>
  <c r="S29" i="1"/>
  <c r="H44" i="1"/>
  <c r="Q29" i="1"/>
  <c r="U29" i="1"/>
  <c r="G29" i="1"/>
  <c r="P44" i="1"/>
  <c r="O44" i="1"/>
  <c r="N44" i="1"/>
  <c r="R29" i="1"/>
  <c r="R46" i="1" s="1"/>
  <c r="R49" i="1" s="1"/>
  <c r="G44" i="1"/>
  <c r="L44" i="1"/>
  <c r="T44" i="1"/>
  <c r="C44" i="1"/>
  <c r="C46" i="1" s="1"/>
  <c r="C49" i="1" s="1"/>
  <c r="I44" i="1"/>
  <c r="K29" i="1"/>
  <c r="J29" i="1"/>
  <c r="F46" i="1" l="1"/>
  <c r="F49" i="1" s="1"/>
  <c r="S46" i="1"/>
  <c r="S49" i="1" s="1"/>
  <c r="Q46" i="1"/>
  <c r="Q49" i="1" s="1"/>
  <c r="F47" i="1"/>
  <c r="F50" i="1" s="1"/>
  <c r="O47" i="1"/>
  <c r="O50" i="1" s="1"/>
  <c r="N47" i="1"/>
  <c r="N50" i="1" s="1"/>
  <c r="D47" i="1"/>
  <c r="D50" i="1" s="1"/>
  <c r="G47" i="1"/>
  <c r="G50" i="1" s="1"/>
  <c r="D46" i="1"/>
  <c r="D49" i="1" s="1"/>
  <c r="V46" i="1"/>
  <c r="V49" i="1" s="1"/>
  <c r="V51" i="1" s="1"/>
  <c r="V52" i="1" s="1"/>
  <c r="H47" i="1"/>
  <c r="H50" i="1" s="1"/>
  <c r="J46" i="1"/>
  <c r="J49" i="1" s="1"/>
  <c r="K47" i="1"/>
  <c r="K50" i="1" s="1"/>
  <c r="M46" i="1"/>
  <c r="M49" i="1" s="1"/>
  <c r="I46" i="1"/>
  <c r="I49" i="1" s="1"/>
  <c r="U47" i="1"/>
  <c r="U50" i="1" s="1"/>
  <c r="E46" i="1"/>
  <c r="E49" i="1" s="1"/>
  <c r="T46" i="1"/>
  <c r="T49" i="1" s="1"/>
  <c r="L47" i="1"/>
  <c r="L50" i="1" s="1"/>
  <c r="M47" i="1"/>
  <c r="M50" i="1" s="1"/>
  <c r="H46" i="1"/>
  <c r="H49" i="1" s="1"/>
  <c r="E47" i="1"/>
  <c r="E50" i="1" s="1"/>
  <c r="T47" i="1"/>
  <c r="T50" i="1" s="1"/>
  <c r="Q47" i="1"/>
  <c r="Q50" i="1" s="1"/>
  <c r="S47" i="1"/>
  <c r="S50" i="1" s="1"/>
  <c r="P46" i="1"/>
  <c r="P49" i="1" s="1"/>
  <c r="U46" i="1"/>
  <c r="U49" i="1" s="1"/>
  <c r="P47" i="1"/>
  <c r="P50" i="1" s="1"/>
  <c r="L46" i="1"/>
  <c r="L49" i="1" s="1"/>
  <c r="C47" i="1"/>
  <c r="C50" i="1" s="1"/>
  <c r="G46" i="1"/>
  <c r="G49" i="1" s="1"/>
  <c r="J47" i="1"/>
  <c r="J50" i="1" s="1"/>
  <c r="O46" i="1"/>
  <c r="O49" i="1" s="1"/>
  <c r="R47" i="1"/>
  <c r="R50" i="1" s="1"/>
  <c r="R51" i="1" s="1"/>
  <c r="R52" i="1" s="1"/>
  <c r="I47" i="1"/>
  <c r="I50" i="1" s="1"/>
  <c r="K46" i="1"/>
  <c r="K49" i="1" s="1"/>
  <c r="N46" i="1"/>
  <c r="N49" i="1" s="1"/>
  <c r="F51" i="1" l="1"/>
  <c r="F52" i="1" s="1"/>
  <c r="S51" i="1"/>
  <c r="S52" i="1" s="1"/>
  <c r="E51" i="1"/>
  <c r="E52" i="1" s="1"/>
  <c r="D51" i="1"/>
  <c r="D52" i="1" s="1"/>
  <c r="Q51" i="1"/>
  <c r="Q52" i="1" s="1"/>
  <c r="W54" i="1"/>
  <c r="W55" i="1"/>
  <c r="C51" i="1"/>
  <c r="C52" i="1" s="1"/>
  <c r="I51" i="1"/>
  <c r="I52" i="1" s="1"/>
  <c r="O51" i="1"/>
  <c r="O52" i="1" s="1"/>
  <c r="P51" i="1"/>
  <c r="P52" i="1" s="1"/>
  <c r="H51" i="1"/>
  <c r="H52" i="1" s="1"/>
  <c r="N51" i="1"/>
  <c r="N52" i="1" s="1"/>
  <c r="M51" i="1"/>
  <c r="M52" i="1" s="1"/>
  <c r="K51" i="1"/>
  <c r="K52" i="1" s="1"/>
  <c r="T51" i="1"/>
  <c r="T52" i="1" s="1"/>
  <c r="J51" i="1"/>
  <c r="J52" i="1" s="1"/>
  <c r="L51" i="1"/>
  <c r="L52" i="1" s="1"/>
  <c r="U51" i="1"/>
  <c r="U52" i="1" s="1"/>
  <c r="G51" i="1"/>
  <c r="G52" i="1" s="1"/>
  <c r="W56" i="1" l="1"/>
  <c r="W59" i="1" s="1"/>
</calcChain>
</file>

<file path=xl/sharedStrings.xml><?xml version="1.0" encoding="utf-8"?>
<sst xmlns="http://schemas.openxmlformats.org/spreadsheetml/2006/main" count="97" uniqueCount="96">
  <si>
    <t xml:space="preserve">Instiution Code </t>
  </si>
  <si>
    <t>Financial Year</t>
  </si>
  <si>
    <t>Start Date</t>
  </si>
  <si>
    <t>End Date</t>
  </si>
  <si>
    <t>In Thousands</t>
  </si>
  <si>
    <t>S/No</t>
  </si>
  <si>
    <t>Particulars</t>
  </si>
  <si>
    <t>SINGLE CURRENCY EXPOSURE</t>
  </si>
  <si>
    <t>USD</t>
  </si>
  <si>
    <t>EUR</t>
  </si>
  <si>
    <t>CHF</t>
  </si>
  <si>
    <t>GBP</t>
  </si>
  <si>
    <t>JPY</t>
  </si>
  <si>
    <t>DJF</t>
  </si>
  <si>
    <t>KES</t>
  </si>
  <si>
    <t>INR</t>
  </si>
  <si>
    <t>DKK</t>
  </si>
  <si>
    <t>SEK</t>
  </si>
  <si>
    <t>SAR</t>
  </si>
  <si>
    <t>CAD</t>
  </si>
  <si>
    <t>AED</t>
  </si>
  <si>
    <t>AUD</t>
  </si>
  <si>
    <t>CNY</t>
  </si>
  <si>
    <t>NOK</t>
  </si>
  <si>
    <t>KWD</t>
  </si>
  <si>
    <t>Overall Exposure</t>
  </si>
  <si>
    <t xml:space="preserve">Foreign Currency Assets </t>
  </si>
  <si>
    <t>1.1.1</t>
  </si>
  <si>
    <t>Currency on hand</t>
  </si>
  <si>
    <t>1.1.2</t>
  </si>
  <si>
    <t>1.1.3</t>
  </si>
  <si>
    <t>Cheques and items in transit</t>
  </si>
  <si>
    <t>1.1.4</t>
  </si>
  <si>
    <t xml:space="preserve">Loans &amp; advances </t>
  </si>
  <si>
    <t>1.1.5</t>
  </si>
  <si>
    <t xml:space="preserve">Accrued interest recivable </t>
  </si>
  <si>
    <t>1.1.6</t>
  </si>
  <si>
    <t>Other assets</t>
  </si>
  <si>
    <t>1.2.1</t>
  </si>
  <si>
    <t>1.2.2</t>
  </si>
  <si>
    <t>1.2.3</t>
  </si>
  <si>
    <t>1.2.4</t>
  </si>
  <si>
    <t xml:space="preserve">Other assets </t>
  </si>
  <si>
    <t>Foreign Currency Liabilities</t>
  </si>
  <si>
    <t>2.1.1</t>
  </si>
  <si>
    <t>Due to banks abroad</t>
  </si>
  <si>
    <t>2.2.2</t>
  </si>
  <si>
    <t>Foreign currency deposits</t>
  </si>
  <si>
    <t>2.2.3</t>
  </si>
  <si>
    <t>2.2.4</t>
  </si>
  <si>
    <t>Accured interest payable</t>
  </si>
  <si>
    <t>2.2.5</t>
  </si>
  <si>
    <t>Other liabilites</t>
  </si>
  <si>
    <t>2.2.1</t>
  </si>
  <si>
    <t>Undeliverd spot sales</t>
  </si>
  <si>
    <t>Forward sales</t>
  </si>
  <si>
    <t>Letter of credit</t>
  </si>
  <si>
    <t>Guarantees</t>
  </si>
  <si>
    <t>2.2.6</t>
  </si>
  <si>
    <t xml:space="preserve">Other liabilities </t>
  </si>
  <si>
    <t xml:space="preserve">Foreign Exhange Position in Single Currency  </t>
  </si>
  <si>
    <t xml:space="preserve">Overall Foreign Exhange Position </t>
  </si>
  <si>
    <t>Overall open position  (Greater of 8.1 or 8.2)</t>
  </si>
  <si>
    <t xml:space="preserve">Tire 1 Capital </t>
  </si>
  <si>
    <t>Net Open Position Ratio (8.3/8.4*100)</t>
  </si>
  <si>
    <t>Forward purchase</t>
  </si>
  <si>
    <t>Option, Swaps, Derivatives</t>
  </si>
  <si>
    <t>Borrowings</t>
  </si>
  <si>
    <t xml:space="preserve"> Net long position (where assets less liabilities is +)</t>
  </si>
  <si>
    <t>Net short position (where assets less liabilities is -)</t>
  </si>
  <si>
    <t>Net long position in Birr (3.1*4)</t>
  </si>
  <si>
    <t>Net short position in Birr (3.2*4)</t>
  </si>
  <si>
    <t>Net open position ( Greater of 5 or 6)</t>
  </si>
  <si>
    <t>Net Open Positioin Ratio (7/8.4*100)</t>
  </si>
  <si>
    <t xml:space="preserve">Others in Single Currency </t>
  </si>
  <si>
    <t xml:space="preserve">Due from banks </t>
  </si>
  <si>
    <t>Undeliverd spot purchase</t>
  </si>
  <si>
    <t>Overall open position limit (18%*8.4)</t>
  </si>
  <si>
    <t>Mid-exhange rate</t>
  </si>
  <si>
    <t xml:space="preserve"> Daily Foreign Currency Exposure Reports</t>
  </si>
  <si>
    <t>On-balance Sheet Items (Sum of 1.1.1 to 1.1.6)</t>
  </si>
  <si>
    <t>Off-balance sheet Items (Sum of 1.2.1 to 1.2.4)</t>
  </si>
  <si>
    <t>Total Foreign Assets (Sum of 1.1 &amp; 1.2)</t>
  </si>
  <si>
    <t>2.1.2</t>
  </si>
  <si>
    <t>2.1.3</t>
  </si>
  <si>
    <t>2.1.4</t>
  </si>
  <si>
    <t>2.1.5</t>
  </si>
  <si>
    <t>On-balance Sheet Items (Sum of 2.1.1 to 2.1.5)</t>
  </si>
  <si>
    <t>Off-balance Sheet Items (Sum of 2.2.1 to 2.2.6)</t>
  </si>
  <si>
    <t>Total Foreign Liabilities (Sum of 2.1 &amp; 2.2)</t>
  </si>
  <si>
    <t>Total Long Position (Sum of row 5)</t>
  </si>
  <si>
    <t>Total Short Position (Sum of row 6)</t>
  </si>
  <si>
    <t xml:space="preserve">*Note that items such inward bills/documents collection, outward bills/documents purchased or collection,  and other items of similar nature that expose the bank to exchage rate risk shall be included in the NOP computation.  </t>
  </si>
  <si>
    <t>SINGLE CURRENCYOP001</t>
  </si>
  <si>
    <t>0000001</t>
  </si>
  <si>
    <t>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</si>
</sst>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_(* #,##0.00_);_(* \(#,##0.00\);_(* &quot;-&quot;??_);_(@_)"/>
    <numFmt numFmtId="165" formatCode="yyyy\-mm\-dd;@"/>
    <numFmt numFmtId="166" formatCode="_(* #,##0.00000_);_(* \(#,##0.00000\);_(* &quot;-&quot;??_);_(@_)"/>
    <numFmt numFmtId="167" formatCode="0.0000"/>
  </numFmts>
  <fonts count="14" x14ac:knownFonts="1">
    <font>
      <sz val="9"/>
      <color theme="1"/>
      <name val="Calibri"/>
      <family val="2"/>
      <scheme val="minor"/>
    </font>
    <font>
      <sz val="11"/>
      <name val="Times New Roman"/>
      <family val="1"/>
    </font>
    <font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11"/>
      <color rgb="FFFF0000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4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rgb="FF7030A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rgb="FF7030A0"/>
      </bottom>
      <diagonal/>
    </border>
    <border>
      <left/>
      <right style="thick">
        <color rgb="FF7030A0"/>
      </right>
      <top style="thin">
        <color indexed="64"/>
      </top>
      <bottom style="thick">
        <color rgb="FF7030A0"/>
      </bottom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60">
    <xf numFmtId="0" fontId="0" fillId="0" borderId="0" xfId="0"/>
    <xf numFmtId="0" fontId="5" fillId="0" borderId="0" xfId="0" applyFont="1"/>
    <xf numFmtId="0" fontId="5" fillId="0" borderId="0" xfId="0" applyFont="1" applyBorder="1" applyAlignment="1">
      <alignment horizontal="left"/>
    </xf>
    <xf numFmtId="0" fontId="7" fillId="0" borderId="0" xfId="0" applyFont="1"/>
    <xf numFmtId="0" fontId="7" fillId="2" borderId="0" xfId="0" applyFont="1" applyFill="1"/>
    <xf numFmtId="0" fontId="6" fillId="0" borderId="0" xfId="0" applyFont="1"/>
    <xf numFmtId="0" fontId="3" fillId="0" borderId="0" xfId="0" applyFont="1"/>
    <xf numFmtId="0" fontId="6" fillId="0" borderId="1" xfId="0" applyFont="1" applyFill="1" applyBorder="1"/>
    <xf numFmtId="0" fontId="6" fillId="0" borderId="1" xfId="0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right"/>
    </xf>
    <xf numFmtId="0" fontId="6" fillId="0" borderId="1" xfId="0" applyFont="1" applyFill="1" applyBorder="1" applyAlignment="1">
      <alignment horizontal="right"/>
    </xf>
    <xf numFmtId="0" fontId="6" fillId="0" borderId="1" xfId="0" applyFont="1" applyFill="1" applyBorder="1" applyAlignment="1">
      <alignment horizontal="left"/>
    </xf>
    <xf numFmtId="0" fontId="5" fillId="0" borderId="1" xfId="0" applyFont="1" applyFill="1" applyBorder="1" applyAlignment="1">
      <alignment horizontal="right" vertical="center"/>
    </xf>
    <xf numFmtId="0" fontId="5" fillId="0" borderId="1" xfId="0" applyFont="1" applyFill="1" applyBorder="1"/>
    <xf numFmtId="0" fontId="5" fillId="0" borderId="1" xfId="0" applyFont="1" applyFill="1" applyBorder="1" applyAlignment="1">
      <alignment horizontal="right"/>
    </xf>
    <xf numFmtId="0" fontId="5" fillId="0" borderId="2" xfId="0" applyFont="1" applyFill="1" applyBorder="1"/>
    <xf numFmtId="0" fontId="1" fillId="0" borderId="1" xfId="0" applyFont="1" applyFill="1" applyBorder="1"/>
    <xf numFmtId="0" fontId="5" fillId="0" borderId="1" xfId="0" applyFont="1" applyBorder="1"/>
    <xf numFmtId="0" fontId="0" fillId="0" borderId="0" xfId="0" applyAlignment="1">
      <alignment wrapText="1"/>
    </xf>
    <xf numFmtId="0" fontId="5" fillId="0" borderId="0" xfId="0" applyFont="1" applyBorder="1"/>
    <xf numFmtId="0" fontId="3" fillId="0" borderId="0" xfId="0" applyFont="1" applyBorder="1"/>
    <xf numFmtId="0" fontId="0" fillId="0" borderId="0" xfId="0" applyBorder="1"/>
    <xf numFmtId="0" fontId="6" fillId="0" borderId="1" xfId="0" applyFont="1" applyFill="1" applyBorder="1" applyAlignment="1">
      <alignment horizontal="left"/>
    </xf>
    <xf numFmtId="0" fontId="3" fillId="4" borderId="0" xfId="0" applyFont="1" applyFill="1" applyBorder="1"/>
    <xf numFmtId="0" fontId="4" fillId="4" borderId="5" xfId="0" applyFont="1" applyFill="1" applyBorder="1"/>
    <xf numFmtId="0" fontId="4" fillId="4" borderId="6" xfId="0" applyFont="1" applyFill="1" applyBorder="1"/>
    <xf numFmtId="0" fontId="3" fillId="4" borderId="6" xfId="0" applyFont="1" applyFill="1" applyBorder="1"/>
    <xf numFmtId="0" fontId="3" fillId="4" borderId="3" xfId="0" applyFont="1" applyFill="1" applyBorder="1"/>
    <xf numFmtId="0" fontId="6" fillId="0" borderId="1" xfId="0" applyFont="1" applyFill="1" applyBorder="1" applyAlignment="1">
      <alignment horizontal="left"/>
    </xf>
    <xf numFmtId="164" fontId="12" fillId="0" borderId="9" xfId="1" applyFont="1" applyBorder="1" applyAlignment="1">
      <alignment vertical="top" wrapText="1"/>
    </xf>
    <xf numFmtId="164" fontId="11" fillId="0" borderId="9" xfId="1" applyFont="1" applyBorder="1" applyAlignment="1" applyProtection="1">
      <alignment horizontal="justify" vertical="top" wrapText="1"/>
      <protection locked="0"/>
    </xf>
    <xf numFmtId="0" fontId="6" fillId="0" borderId="1" xfId="0" applyFont="1" applyFill="1" applyBorder="1" applyAlignment="1">
      <alignment horizontal="center"/>
    </xf>
    <xf numFmtId="166" fontId="11" fillId="0" borderId="9" xfId="1" applyNumberFormat="1" applyFont="1" applyBorder="1" applyAlignment="1" applyProtection="1">
      <alignment horizontal="justify" vertical="top" wrapText="1"/>
      <protection locked="0"/>
    </xf>
    <xf numFmtId="167" fontId="0" fillId="0" borderId="0" xfId="1" applyNumberFormat="1" applyFont="1" applyProtection="1">
      <protection locked="0"/>
    </xf>
    <xf numFmtId="0" fontId="5" fillId="0" borderId="0" xfId="0" applyFont="1" applyAlignment="1">
      <alignment horizontal="left"/>
    </xf>
    <xf numFmtId="0" fontId="6" fillId="0" borderId="5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0" fontId="10" fillId="6" borderId="8" xfId="0" applyFont="1" applyFill="1" applyBorder="1" applyAlignment="1">
      <alignment horizontal="center" vertical="center" wrapText="1"/>
    </xf>
    <xf numFmtId="0" fontId="10" fillId="6" borderId="0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left"/>
    </xf>
    <xf numFmtId="0" fontId="6" fillId="3" borderId="2" xfId="0" applyFont="1" applyFill="1" applyBorder="1" applyAlignment="1">
      <alignment horizontal="left"/>
    </xf>
    <xf numFmtId="0" fontId="6" fillId="0" borderId="2" xfId="0" applyFont="1" applyFill="1" applyBorder="1" applyAlignment="1">
      <alignment horizontal="center"/>
    </xf>
    <xf numFmtId="0" fontId="6" fillId="0" borderId="7" xfId="0" applyFont="1" applyFill="1" applyBorder="1" applyAlignment="1">
      <alignment horizontal="center"/>
    </xf>
    <xf numFmtId="0" fontId="6" fillId="0" borderId="4" xfId="0" applyFont="1" applyFill="1" applyBorder="1" applyAlignment="1">
      <alignment horizontal="center"/>
    </xf>
    <xf numFmtId="49" fontId="11" fillId="0" borderId="1" xfId="0" applyNumberFormat="1" applyFont="1" applyFill="1" applyBorder="1" applyAlignment="1" applyProtection="1">
      <alignment horizontal="center"/>
      <protection locked="0"/>
    </xf>
    <xf numFmtId="165" fontId="0" fillId="0" borderId="2" xfId="0" applyNumberFormat="1" applyFill="1" applyBorder="1" applyAlignment="1" applyProtection="1">
      <alignment horizontal="center" wrapText="1"/>
      <protection locked="0"/>
    </xf>
    <xf numFmtId="165" fontId="0" fillId="0" borderId="10" xfId="0" applyNumberFormat="1" applyFill="1" applyBorder="1" applyAlignment="1" applyProtection="1">
      <alignment horizontal="center" wrapText="1"/>
      <protection locked="0"/>
    </xf>
    <xf numFmtId="165" fontId="0" fillId="0" borderId="11" xfId="0" applyNumberFormat="1" applyFill="1" applyBorder="1" applyAlignment="1" applyProtection="1">
      <alignment horizontal="center" wrapText="1"/>
      <protection locked="0"/>
    </xf>
    <xf numFmtId="165" fontId="0" fillId="0" borderId="12" xfId="0" applyNumberFormat="1" applyFill="1" applyBorder="1" applyAlignment="1" applyProtection="1">
      <alignment horizontal="center" wrapText="1"/>
      <protection locked="0"/>
    </xf>
    <xf numFmtId="0" fontId="6" fillId="0" borderId="5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13" fillId="5" borderId="1" xfId="0" applyFont="1" applyFill="1" applyBorder="1" applyAlignment="1">
      <alignment horizontal="center"/>
    </xf>
    <xf numFmtId="0" fontId="6" fillId="0" borderId="0" xfId="0" applyFont="1" applyBorder="1" applyAlignment="1">
      <alignment horizontal="left" vertical="top"/>
    </xf>
    <xf numFmtId="0" fontId="6" fillId="0" borderId="1" xfId="0" applyFont="1" applyFill="1" applyBorder="1" applyAlignment="1">
      <alignment horizontal="left"/>
    </xf>
    <xf numFmtId="0" fontId="6" fillId="0" borderId="2" xfId="0" applyFont="1" applyFill="1" applyBorder="1" applyAlignment="1">
      <alignment horizontal="left"/>
    </xf>
    <xf numFmtId="0" fontId="6" fillId="0" borderId="3" xfId="0" applyFont="1" applyFill="1" applyBorder="1" applyAlignment="1">
      <alignment horizontal="left"/>
    </xf>
    <xf numFmtId="0" fontId="6" fillId="0" borderId="6" xfId="0" applyFont="1" applyFill="1" applyBorder="1" applyAlignment="1">
      <alignment horizontal="left"/>
    </xf>
    <xf numFmtId="0" fontId="6" fillId="0" borderId="8" xfId="0" applyFont="1" applyFill="1" applyBorder="1" applyAlignment="1">
      <alignment horizontal="left"/>
    </xf>
    <xf numFmtId="0" fontId="8" fillId="0" borderId="0" xfId="0" applyFont="1" applyAlignment="1">
      <alignment wrapText="1"/>
    </xf>
    <xf numFmtId="0" fontId="9" fillId="0" borderId="0" xfId="0" applyFont="1" applyAlignment="1">
      <alignment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80"/>
  <sheetViews>
    <sheetView tabSelected="1" topLeftCell="A52" workbookViewId="0">
      <selection activeCell="B60" sqref="B60:M60"/>
    </sheetView>
  </sheetViews>
  <sheetFormatPr defaultRowHeight="15" x14ac:dyDescent="0.25"/>
  <cols>
    <col min="1" max="1" width="8.5" style="1" customWidth="1"/>
    <col min="2" max="2" width="61.6640625" customWidth="1"/>
    <col min="3" max="3" width="23.33203125" customWidth="1"/>
    <col min="4" max="4" width="21.83203125" customWidth="1"/>
    <col min="5" max="5" width="22" customWidth="1"/>
    <col min="6" max="6" width="19" customWidth="1"/>
    <col min="7" max="7" width="14.6640625" customWidth="1"/>
    <col min="8" max="8" width="15.83203125" customWidth="1"/>
    <col min="9" max="9" width="15.5" customWidth="1"/>
    <col min="10" max="10" width="16" customWidth="1"/>
    <col min="11" max="11" width="16.5" customWidth="1"/>
    <col min="12" max="12" width="17.6640625" customWidth="1"/>
    <col min="13" max="13" width="16.5" customWidth="1"/>
    <col min="14" max="14" width="14.33203125" customWidth="1"/>
    <col min="15" max="15" width="14.83203125" customWidth="1"/>
    <col min="16" max="16" width="14" customWidth="1"/>
    <col min="17" max="17" width="14.33203125" customWidth="1"/>
    <col min="18" max="18" width="13.6640625" customWidth="1"/>
    <col min="19" max="19" width="12.33203125" customWidth="1"/>
    <col min="20" max="20" width="9.83203125" customWidth="1"/>
    <col min="21" max="21" width="10.6640625" customWidth="1"/>
    <col min="22" max="22" width="12.5" customWidth="1"/>
    <col min="23" max="23" width="31.6640625" customWidth="1"/>
  </cols>
  <sheetData>
    <row r="1" spans="1:23" x14ac:dyDescent="0.25">
      <c r="A1" s="34" t="s">
        <v>93</v>
      </c>
      <c r="B1" s="34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</row>
    <row r="2" spans="1:23" x14ac:dyDescent="0.25"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</row>
    <row r="3" spans="1:23" x14ac:dyDescent="0.25"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</row>
    <row r="4" spans="1:23" ht="15" customHeight="1" x14ac:dyDescent="0.25">
      <c r="B4" s="37" t="s">
        <v>79</v>
      </c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</row>
    <row r="5" spans="1:23" ht="15" customHeight="1" x14ac:dyDescent="0.25">
      <c r="B5" s="37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</row>
    <row r="6" spans="1:23" ht="15" customHeight="1" x14ac:dyDescent="0.25">
      <c r="B6" s="37"/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</row>
    <row r="7" spans="1:23" ht="15" customHeight="1" x14ac:dyDescent="0.25">
      <c r="B7" s="37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</row>
    <row r="8" spans="1:23" ht="15.75" x14ac:dyDescent="0.25">
      <c r="B8" s="28" t="s">
        <v>0</v>
      </c>
      <c r="C8" s="44" t="s">
        <v>94</v>
      </c>
      <c r="D8" s="44"/>
      <c r="E8" s="1"/>
      <c r="F8" s="1"/>
      <c r="G8" s="1"/>
      <c r="H8" s="1"/>
      <c r="I8" s="1"/>
      <c r="J8" s="1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</row>
    <row r="9" spans="1:23" ht="15.75" x14ac:dyDescent="0.25">
      <c r="B9" s="28" t="s">
        <v>1</v>
      </c>
      <c r="C9" s="44" t="s">
        <v>95</v>
      </c>
      <c r="D9" s="44"/>
      <c r="E9" s="1"/>
      <c r="F9" s="1"/>
      <c r="G9" s="1"/>
      <c r="H9" s="1"/>
      <c r="I9" s="1"/>
      <c r="J9" s="1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</row>
    <row r="10" spans="1:23" x14ac:dyDescent="0.25">
      <c r="B10" s="28" t="s">
        <v>2</v>
      </c>
      <c r="C10" s="45">
        <v>46240</v>
      </c>
      <c r="D10" s="46"/>
      <c r="E10" s="1"/>
      <c r="F10" s="1"/>
      <c r="G10" s="1"/>
      <c r="H10" s="1"/>
      <c r="I10" s="1"/>
      <c r="J10" s="1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</row>
    <row r="11" spans="1:23" ht="15.75" thickBot="1" x14ac:dyDescent="0.3">
      <c r="B11" s="28" t="s">
        <v>3</v>
      </c>
      <c r="C11" s="47">
        <v>46240</v>
      </c>
      <c r="D11" s="48"/>
      <c r="E11" s="1"/>
      <c r="F11" s="1"/>
      <c r="G11" s="1"/>
      <c r="H11" s="1"/>
      <c r="I11" s="1"/>
      <c r="J11" s="1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</row>
    <row r="12" spans="1:23" ht="15.75" thickTop="1" x14ac:dyDescent="0.25">
      <c r="B12" s="2"/>
      <c r="C12" s="2"/>
      <c r="D12" s="1"/>
      <c r="E12" s="1"/>
      <c r="F12" s="1"/>
      <c r="G12" s="1"/>
      <c r="H12" s="1"/>
      <c r="I12" s="1"/>
      <c r="J12" s="1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</row>
    <row r="13" spans="1:23" ht="18.75" x14ac:dyDescent="0.3">
      <c r="B13" s="6"/>
      <c r="C13" s="51" t="s">
        <v>4</v>
      </c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6"/>
    </row>
    <row r="14" spans="1:23" s="3" customFormat="1" ht="14.25" x14ac:dyDescent="0.2">
      <c r="A14" s="35" t="s">
        <v>5</v>
      </c>
      <c r="B14" s="35" t="s">
        <v>6</v>
      </c>
      <c r="C14" s="41" t="s">
        <v>7</v>
      </c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3"/>
      <c r="T14" s="41" t="s">
        <v>74</v>
      </c>
      <c r="U14" s="42"/>
      <c r="V14" s="43"/>
      <c r="W14" s="49" t="s">
        <v>25</v>
      </c>
    </row>
    <row r="15" spans="1:23" s="3" customFormat="1" ht="14.25" x14ac:dyDescent="0.2">
      <c r="A15" s="36"/>
      <c r="B15" s="36"/>
      <c r="C15" s="31" t="s">
        <v>8</v>
      </c>
      <c r="D15" s="31" t="s">
        <v>9</v>
      </c>
      <c r="E15" s="31" t="s">
        <v>10</v>
      </c>
      <c r="F15" s="31" t="s">
        <v>11</v>
      </c>
      <c r="G15" s="31" t="s">
        <v>12</v>
      </c>
      <c r="H15" s="31" t="s">
        <v>13</v>
      </c>
      <c r="I15" s="31" t="s">
        <v>14</v>
      </c>
      <c r="J15" s="31" t="s">
        <v>15</v>
      </c>
      <c r="K15" s="31" t="s">
        <v>16</v>
      </c>
      <c r="L15" s="31" t="s">
        <v>17</v>
      </c>
      <c r="M15" s="31" t="s">
        <v>18</v>
      </c>
      <c r="N15" s="31" t="s">
        <v>19</v>
      </c>
      <c r="O15" s="31" t="s">
        <v>20</v>
      </c>
      <c r="P15" s="31" t="s">
        <v>21</v>
      </c>
      <c r="Q15" s="31" t="s">
        <v>22</v>
      </c>
      <c r="R15" s="31" t="s">
        <v>23</v>
      </c>
      <c r="S15" s="31" t="s">
        <v>24</v>
      </c>
      <c r="T15" s="8"/>
      <c r="U15" s="8"/>
      <c r="V15" s="8"/>
      <c r="W15" s="50"/>
    </row>
    <row r="16" spans="1:23" s="4" customFormat="1" x14ac:dyDescent="0.25">
      <c r="A16" s="9">
        <v>1</v>
      </c>
      <c r="B16" s="39" t="s">
        <v>26</v>
      </c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40"/>
      <c r="W16" s="24"/>
    </row>
    <row r="17" spans="1:23" s="4" customFormat="1" ht="15.75" x14ac:dyDescent="0.25">
      <c r="A17" s="10">
        <v>1.1000000000000001</v>
      </c>
      <c r="B17" s="11" t="s">
        <v>80</v>
      </c>
      <c r="C17" s="29">
        <f>SUM(C18:C23)</f>
        <v>0</v>
      </c>
      <c r="D17" s="29">
        <f t="shared" ref="D17:V17" si="0">SUM(D18:D23)</f>
        <v>0</v>
      </c>
      <c r="E17" s="29">
        <f t="shared" si="0"/>
        <v>0</v>
      </c>
      <c r="F17" s="29">
        <f t="shared" si="0"/>
        <v>0</v>
      </c>
      <c r="G17" s="29">
        <f t="shared" si="0"/>
        <v>0</v>
      </c>
      <c r="H17" s="29">
        <f t="shared" si="0"/>
        <v>0</v>
      </c>
      <c r="I17" s="29">
        <f t="shared" si="0"/>
        <v>0</v>
      </c>
      <c r="J17" s="29">
        <f t="shared" si="0"/>
        <v>0</v>
      </c>
      <c r="K17" s="29">
        <f t="shared" si="0"/>
        <v>0</v>
      </c>
      <c r="L17" s="29">
        <f t="shared" si="0"/>
        <v>0</v>
      </c>
      <c r="M17" s="29">
        <f t="shared" si="0"/>
        <v>0</v>
      </c>
      <c r="N17" s="29">
        <f t="shared" si="0"/>
        <v>0</v>
      </c>
      <c r="O17" s="29">
        <f t="shared" si="0"/>
        <v>0</v>
      </c>
      <c r="P17" s="29">
        <f t="shared" si="0"/>
        <v>0</v>
      </c>
      <c r="Q17" s="29">
        <f t="shared" si="0"/>
        <v>0</v>
      </c>
      <c r="R17" s="29">
        <f t="shared" si="0"/>
        <v>0</v>
      </c>
      <c r="S17" s="29">
        <f t="shared" si="0"/>
        <v>0</v>
      </c>
      <c r="T17" s="29">
        <f t="shared" si="0"/>
        <v>0</v>
      </c>
      <c r="U17" s="29">
        <f t="shared" si="0"/>
        <v>0</v>
      </c>
      <c r="V17" s="29">
        <f t="shared" si="0"/>
        <v>0</v>
      </c>
      <c r="W17" s="25"/>
    </row>
    <row r="18" spans="1:23" ht="15.75" x14ac:dyDescent="0.25">
      <c r="A18" s="12" t="s">
        <v>27</v>
      </c>
      <c r="B18" s="13" t="s">
        <v>28</v>
      </c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26"/>
    </row>
    <row r="19" spans="1:23" ht="15.75" x14ac:dyDescent="0.25">
      <c r="A19" s="12" t="s">
        <v>29</v>
      </c>
      <c r="B19" s="13" t="s">
        <v>75</v>
      </c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26"/>
    </row>
    <row r="20" spans="1:23" ht="15.75" x14ac:dyDescent="0.25">
      <c r="A20" s="12" t="s">
        <v>30</v>
      </c>
      <c r="B20" s="13" t="s">
        <v>31</v>
      </c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26"/>
    </row>
    <row r="21" spans="1:23" ht="15.75" x14ac:dyDescent="0.25">
      <c r="A21" s="12" t="s">
        <v>32</v>
      </c>
      <c r="B21" s="13" t="s">
        <v>33</v>
      </c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26"/>
    </row>
    <row r="22" spans="1:23" ht="15.75" x14ac:dyDescent="0.25">
      <c r="A22" s="12" t="s">
        <v>34</v>
      </c>
      <c r="B22" s="13" t="s">
        <v>35</v>
      </c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26"/>
    </row>
    <row r="23" spans="1:23" ht="15.75" x14ac:dyDescent="0.25">
      <c r="A23" s="12" t="s">
        <v>36</v>
      </c>
      <c r="B23" s="13" t="s">
        <v>37</v>
      </c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26"/>
    </row>
    <row r="24" spans="1:23" s="4" customFormat="1" ht="15.75" x14ac:dyDescent="0.25">
      <c r="A24" s="10">
        <v>1.2</v>
      </c>
      <c r="B24" s="22" t="s">
        <v>81</v>
      </c>
      <c r="C24" s="29">
        <f>SUM(C25:C28)</f>
        <v>0</v>
      </c>
      <c r="D24" s="29">
        <f t="shared" ref="D24:V24" si="1">SUM(D25:D28)</f>
        <v>0</v>
      </c>
      <c r="E24" s="29">
        <f t="shared" si="1"/>
        <v>0</v>
      </c>
      <c r="F24" s="29">
        <f t="shared" si="1"/>
        <v>0</v>
      </c>
      <c r="G24" s="29">
        <f t="shared" si="1"/>
        <v>0</v>
      </c>
      <c r="H24" s="29">
        <f t="shared" si="1"/>
        <v>0</v>
      </c>
      <c r="I24" s="29">
        <f t="shared" si="1"/>
        <v>0</v>
      </c>
      <c r="J24" s="29">
        <f t="shared" si="1"/>
        <v>0</v>
      </c>
      <c r="K24" s="29">
        <f t="shared" si="1"/>
        <v>0</v>
      </c>
      <c r="L24" s="29">
        <f t="shared" si="1"/>
        <v>0</v>
      </c>
      <c r="M24" s="29">
        <f t="shared" si="1"/>
        <v>0</v>
      </c>
      <c r="N24" s="29">
        <f t="shared" si="1"/>
        <v>0</v>
      </c>
      <c r="O24" s="29">
        <f t="shared" si="1"/>
        <v>0</v>
      </c>
      <c r="P24" s="29">
        <f t="shared" si="1"/>
        <v>0</v>
      </c>
      <c r="Q24" s="29">
        <f t="shared" si="1"/>
        <v>0</v>
      </c>
      <c r="R24" s="29">
        <f t="shared" si="1"/>
        <v>0</v>
      </c>
      <c r="S24" s="29">
        <f t="shared" si="1"/>
        <v>0</v>
      </c>
      <c r="T24" s="29">
        <f t="shared" si="1"/>
        <v>0</v>
      </c>
      <c r="U24" s="29">
        <f t="shared" si="1"/>
        <v>0</v>
      </c>
      <c r="V24" s="29">
        <f t="shared" si="1"/>
        <v>0</v>
      </c>
      <c r="W24" s="25"/>
    </row>
    <row r="25" spans="1:23" ht="15.75" x14ac:dyDescent="0.25">
      <c r="A25" s="14" t="s">
        <v>38</v>
      </c>
      <c r="B25" s="13" t="s">
        <v>76</v>
      </c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26"/>
    </row>
    <row r="26" spans="1:23" ht="15.75" x14ac:dyDescent="0.25">
      <c r="A26" s="14" t="s">
        <v>39</v>
      </c>
      <c r="B26" s="13" t="s">
        <v>65</v>
      </c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26"/>
    </row>
    <row r="27" spans="1:23" ht="15.75" x14ac:dyDescent="0.25">
      <c r="A27" s="14" t="s">
        <v>40</v>
      </c>
      <c r="B27" s="13" t="s">
        <v>66</v>
      </c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26"/>
    </row>
    <row r="28" spans="1:23" ht="15.75" x14ac:dyDescent="0.25">
      <c r="A28" s="14" t="s">
        <v>41</v>
      </c>
      <c r="B28" s="13" t="s">
        <v>42</v>
      </c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26"/>
    </row>
    <row r="29" spans="1:23" ht="15.75" x14ac:dyDescent="0.25">
      <c r="A29" s="14"/>
      <c r="B29" s="7" t="s">
        <v>82</v>
      </c>
      <c r="C29" s="29">
        <f>C17+C24</f>
        <v>0</v>
      </c>
      <c r="D29" s="29">
        <f t="shared" ref="D29:V29" si="2">D17+D24</f>
        <v>0</v>
      </c>
      <c r="E29" s="29">
        <f t="shared" si="2"/>
        <v>0</v>
      </c>
      <c r="F29" s="29">
        <f t="shared" si="2"/>
        <v>0</v>
      </c>
      <c r="G29" s="29">
        <f t="shared" si="2"/>
        <v>0</v>
      </c>
      <c r="H29" s="29">
        <f t="shared" si="2"/>
        <v>0</v>
      </c>
      <c r="I29" s="29">
        <f t="shared" si="2"/>
        <v>0</v>
      </c>
      <c r="J29" s="29">
        <f t="shared" si="2"/>
        <v>0</v>
      </c>
      <c r="K29" s="29">
        <f t="shared" si="2"/>
        <v>0</v>
      </c>
      <c r="L29" s="29">
        <f t="shared" si="2"/>
        <v>0</v>
      </c>
      <c r="M29" s="29">
        <f t="shared" si="2"/>
        <v>0</v>
      </c>
      <c r="N29" s="29">
        <f t="shared" si="2"/>
        <v>0</v>
      </c>
      <c r="O29" s="29">
        <f t="shared" si="2"/>
        <v>0</v>
      </c>
      <c r="P29" s="29">
        <f t="shared" si="2"/>
        <v>0</v>
      </c>
      <c r="Q29" s="29">
        <f t="shared" si="2"/>
        <v>0</v>
      </c>
      <c r="R29" s="29">
        <f t="shared" si="2"/>
        <v>0</v>
      </c>
      <c r="S29" s="29">
        <f t="shared" si="2"/>
        <v>0</v>
      </c>
      <c r="T29" s="29">
        <f t="shared" si="2"/>
        <v>0</v>
      </c>
      <c r="U29" s="29">
        <f t="shared" si="2"/>
        <v>0</v>
      </c>
      <c r="V29" s="29">
        <f t="shared" si="2"/>
        <v>0</v>
      </c>
      <c r="W29" s="26"/>
    </row>
    <row r="30" spans="1:23" s="4" customFormat="1" x14ac:dyDescent="0.25">
      <c r="A30" s="9">
        <v>2</v>
      </c>
      <c r="B30" s="39" t="s">
        <v>43</v>
      </c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40"/>
      <c r="W30" s="25"/>
    </row>
    <row r="31" spans="1:23" s="4" customFormat="1" ht="15.75" x14ac:dyDescent="0.25">
      <c r="A31" s="10">
        <v>2.1</v>
      </c>
      <c r="B31" s="11" t="s">
        <v>87</v>
      </c>
      <c r="C31" s="29">
        <f>SUM(C32:C36)</f>
        <v>0</v>
      </c>
      <c r="D31" s="29">
        <f t="shared" ref="D31:V31" si="3">SUM(D32:D36)</f>
        <v>0</v>
      </c>
      <c r="E31" s="29">
        <f t="shared" si="3"/>
        <v>0</v>
      </c>
      <c r="F31" s="29">
        <f t="shared" si="3"/>
        <v>0</v>
      </c>
      <c r="G31" s="29">
        <f t="shared" si="3"/>
        <v>0</v>
      </c>
      <c r="H31" s="29">
        <f t="shared" si="3"/>
        <v>0</v>
      </c>
      <c r="I31" s="29">
        <f t="shared" si="3"/>
        <v>0</v>
      </c>
      <c r="J31" s="29">
        <f t="shared" si="3"/>
        <v>0</v>
      </c>
      <c r="K31" s="29">
        <f t="shared" si="3"/>
        <v>0</v>
      </c>
      <c r="L31" s="29">
        <f t="shared" si="3"/>
        <v>0</v>
      </c>
      <c r="M31" s="29">
        <f t="shared" si="3"/>
        <v>0</v>
      </c>
      <c r="N31" s="29">
        <f t="shared" si="3"/>
        <v>0</v>
      </c>
      <c r="O31" s="29">
        <f t="shared" si="3"/>
        <v>0</v>
      </c>
      <c r="P31" s="29">
        <f t="shared" si="3"/>
        <v>0</v>
      </c>
      <c r="Q31" s="29">
        <f t="shared" si="3"/>
        <v>0</v>
      </c>
      <c r="R31" s="29">
        <f t="shared" si="3"/>
        <v>0</v>
      </c>
      <c r="S31" s="29">
        <f t="shared" si="3"/>
        <v>0</v>
      </c>
      <c r="T31" s="29">
        <f t="shared" si="3"/>
        <v>0</v>
      </c>
      <c r="U31" s="29">
        <f t="shared" si="3"/>
        <v>0</v>
      </c>
      <c r="V31" s="29">
        <f t="shared" si="3"/>
        <v>0</v>
      </c>
      <c r="W31" s="25"/>
    </row>
    <row r="32" spans="1:23" ht="15.75" x14ac:dyDescent="0.25">
      <c r="A32" s="14" t="s">
        <v>44</v>
      </c>
      <c r="B32" s="13" t="s">
        <v>45</v>
      </c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26"/>
    </row>
    <row r="33" spans="1:23" ht="15.75" x14ac:dyDescent="0.25">
      <c r="A33" s="14" t="s">
        <v>83</v>
      </c>
      <c r="B33" s="13" t="s">
        <v>47</v>
      </c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26"/>
    </row>
    <row r="34" spans="1:23" ht="15.75" x14ac:dyDescent="0.25">
      <c r="A34" s="14" t="s">
        <v>84</v>
      </c>
      <c r="B34" s="13" t="s">
        <v>67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26"/>
    </row>
    <row r="35" spans="1:23" ht="15.75" x14ac:dyDescent="0.25">
      <c r="A35" s="14" t="s">
        <v>85</v>
      </c>
      <c r="B35" s="13" t="s">
        <v>50</v>
      </c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26"/>
    </row>
    <row r="36" spans="1:23" ht="15.75" x14ac:dyDescent="0.25">
      <c r="A36" s="14" t="s">
        <v>86</v>
      </c>
      <c r="B36" s="13" t="s">
        <v>52</v>
      </c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26"/>
    </row>
    <row r="37" spans="1:23" s="4" customFormat="1" ht="15.75" x14ac:dyDescent="0.25">
      <c r="A37" s="7">
        <v>2.2000000000000002</v>
      </c>
      <c r="B37" s="22" t="s">
        <v>88</v>
      </c>
      <c r="C37" s="29">
        <f>SUM(C38:C43)</f>
        <v>0</v>
      </c>
      <c r="D37" s="29">
        <f t="shared" ref="D37:V37" si="4">SUM(D38:D43)</f>
        <v>0</v>
      </c>
      <c r="E37" s="29">
        <f t="shared" si="4"/>
        <v>0</v>
      </c>
      <c r="F37" s="29">
        <f t="shared" si="4"/>
        <v>0</v>
      </c>
      <c r="G37" s="29">
        <f t="shared" si="4"/>
        <v>0</v>
      </c>
      <c r="H37" s="29">
        <f t="shared" si="4"/>
        <v>0</v>
      </c>
      <c r="I37" s="29">
        <f t="shared" si="4"/>
        <v>0</v>
      </c>
      <c r="J37" s="29">
        <f t="shared" si="4"/>
        <v>0</v>
      </c>
      <c r="K37" s="29">
        <f t="shared" si="4"/>
        <v>0</v>
      </c>
      <c r="L37" s="29">
        <f t="shared" si="4"/>
        <v>0</v>
      </c>
      <c r="M37" s="29">
        <f t="shared" si="4"/>
        <v>0</v>
      </c>
      <c r="N37" s="29">
        <f t="shared" si="4"/>
        <v>0</v>
      </c>
      <c r="O37" s="29">
        <f t="shared" si="4"/>
        <v>0</v>
      </c>
      <c r="P37" s="29">
        <f t="shared" si="4"/>
        <v>0</v>
      </c>
      <c r="Q37" s="29">
        <f t="shared" si="4"/>
        <v>0</v>
      </c>
      <c r="R37" s="29">
        <f t="shared" si="4"/>
        <v>0</v>
      </c>
      <c r="S37" s="29">
        <f t="shared" si="4"/>
        <v>0</v>
      </c>
      <c r="T37" s="29">
        <f t="shared" si="4"/>
        <v>0</v>
      </c>
      <c r="U37" s="29">
        <f t="shared" si="4"/>
        <v>0</v>
      </c>
      <c r="V37" s="29">
        <f t="shared" si="4"/>
        <v>0</v>
      </c>
      <c r="W37" s="25"/>
    </row>
    <row r="38" spans="1:23" ht="15.75" x14ac:dyDescent="0.25">
      <c r="A38" s="14" t="s">
        <v>53</v>
      </c>
      <c r="B38" s="13" t="s">
        <v>54</v>
      </c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26"/>
    </row>
    <row r="39" spans="1:23" ht="15.75" x14ac:dyDescent="0.25">
      <c r="A39" s="14" t="s">
        <v>46</v>
      </c>
      <c r="B39" s="13" t="s">
        <v>55</v>
      </c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26"/>
    </row>
    <row r="40" spans="1:23" ht="15.75" x14ac:dyDescent="0.25">
      <c r="A40" s="14" t="s">
        <v>48</v>
      </c>
      <c r="B40" s="13" t="s">
        <v>66</v>
      </c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26"/>
    </row>
    <row r="41" spans="1:23" ht="15.75" x14ac:dyDescent="0.25">
      <c r="A41" s="14" t="s">
        <v>49</v>
      </c>
      <c r="B41" s="13" t="s">
        <v>56</v>
      </c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26"/>
    </row>
    <row r="42" spans="1:23" ht="15.75" x14ac:dyDescent="0.25">
      <c r="A42" s="14" t="s">
        <v>51</v>
      </c>
      <c r="B42" s="13" t="s">
        <v>57</v>
      </c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26"/>
    </row>
    <row r="43" spans="1:23" ht="15.75" x14ac:dyDescent="0.25">
      <c r="A43" s="14" t="s">
        <v>58</v>
      </c>
      <c r="B43" s="13" t="s">
        <v>59</v>
      </c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26"/>
    </row>
    <row r="44" spans="1:23" ht="15.75" x14ac:dyDescent="0.25">
      <c r="A44" s="14"/>
      <c r="B44" s="7" t="s">
        <v>89</v>
      </c>
      <c r="C44" s="29">
        <f>C31+C37</f>
        <v>0</v>
      </c>
      <c r="D44" s="29">
        <f t="shared" ref="D44:V44" si="5">D31+D37</f>
        <v>0</v>
      </c>
      <c r="E44" s="29">
        <f t="shared" si="5"/>
        <v>0</v>
      </c>
      <c r="F44" s="29">
        <f t="shared" si="5"/>
        <v>0</v>
      </c>
      <c r="G44" s="29">
        <f t="shared" si="5"/>
        <v>0</v>
      </c>
      <c r="H44" s="29">
        <f t="shared" si="5"/>
        <v>0</v>
      </c>
      <c r="I44" s="29">
        <f t="shared" si="5"/>
        <v>0</v>
      </c>
      <c r="J44" s="29">
        <f t="shared" si="5"/>
        <v>0</v>
      </c>
      <c r="K44" s="29">
        <f t="shared" si="5"/>
        <v>0</v>
      </c>
      <c r="L44" s="29">
        <f t="shared" si="5"/>
        <v>0</v>
      </c>
      <c r="M44" s="29">
        <f t="shared" si="5"/>
        <v>0</v>
      </c>
      <c r="N44" s="29">
        <f t="shared" si="5"/>
        <v>0</v>
      </c>
      <c r="O44" s="29">
        <f t="shared" si="5"/>
        <v>0</v>
      </c>
      <c r="P44" s="29">
        <f t="shared" si="5"/>
        <v>0</v>
      </c>
      <c r="Q44" s="29">
        <f t="shared" si="5"/>
        <v>0</v>
      </c>
      <c r="R44" s="29">
        <f t="shared" si="5"/>
        <v>0</v>
      </c>
      <c r="S44" s="29">
        <f t="shared" si="5"/>
        <v>0</v>
      </c>
      <c r="T44" s="29">
        <f t="shared" si="5"/>
        <v>0</v>
      </c>
      <c r="U44" s="29">
        <f t="shared" si="5"/>
        <v>0</v>
      </c>
      <c r="V44" s="29">
        <f t="shared" si="5"/>
        <v>0</v>
      </c>
      <c r="W44" s="26"/>
    </row>
    <row r="45" spans="1:23" x14ac:dyDescent="0.25">
      <c r="A45" s="7">
        <v>3</v>
      </c>
      <c r="B45" s="53" t="s">
        <v>60</v>
      </c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4"/>
      <c r="W45" s="26"/>
    </row>
    <row r="46" spans="1:23" ht="15.75" x14ac:dyDescent="0.25">
      <c r="A46" s="13">
        <v>3.1</v>
      </c>
      <c r="B46" s="13" t="s">
        <v>68</v>
      </c>
      <c r="C46" s="29">
        <f>IF((C29-C44) &gt; 0, (C29-C44), 0)</f>
        <v>0</v>
      </c>
      <c r="D46" s="29">
        <f t="shared" ref="D46:U46" si="6">IF((D29-D44) &gt; 0, (D29-D44), 0)</f>
        <v>0</v>
      </c>
      <c r="E46" s="29">
        <f t="shared" si="6"/>
        <v>0</v>
      </c>
      <c r="F46" s="29">
        <f t="shared" si="6"/>
        <v>0</v>
      </c>
      <c r="G46" s="29">
        <f t="shared" si="6"/>
        <v>0</v>
      </c>
      <c r="H46" s="29">
        <f t="shared" si="6"/>
        <v>0</v>
      </c>
      <c r="I46" s="29">
        <f t="shared" si="6"/>
        <v>0</v>
      </c>
      <c r="J46" s="29">
        <f t="shared" si="6"/>
        <v>0</v>
      </c>
      <c r="K46" s="29">
        <f t="shared" si="6"/>
        <v>0</v>
      </c>
      <c r="L46" s="29">
        <f t="shared" si="6"/>
        <v>0</v>
      </c>
      <c r="M46" s="29">
        <f t="shared" si="6"/>
        <v>0</v>
      </c>
      <c r="N46" s="29">
        <f t="shared" si="6"/>
        <v>0</v>
      </c>
      <c r="O46" s="29">
        <f t="shared" si="6"/>
        <v>0</v>
      </c>
      <c r="P46" s="29">
        <f t="shared" si="6"/>
        <v>0</v>
      </c>
      <c r="Q46" s="29">
        <f t="shared" si="6"/>
        <v>0</v>
      </c>
      <c r="R46" s="29">
        <f t="shared" si="6"/>
        <v>0</v>
      </c>
      <c r="S46" s="29">
        <f t="shared" si="6"/>
        <v>0</v>
      </c>
      <c r="T46" s="29">
        <f t="shared" si="6"/>
        <v>0</v>
      </c>
      <c r="U46" s="29">
        <f t="shared" si="6"/>
        <v>0</v>
      </c>
      <c r="V46" s="29">
        <f>IF((V29-V44) &gt; 0, (V29-V44), 0)</f>
        <v>0</v>
      </c>
      <c r="W46" s="26"/>
    </row>
    <row r="47" spans="1:23" ht="15.75" x14ac:dyDescent="0.25">
      <c r="A47" s="13">
        <v>3.2</v>
      </c>
      <c r="B47" s="13" t="s">
        <v>69</v>
      </c>
      <c r="C47" s="29">
        <f>IF((C29-C44) &gt; 0, 0, (C29-C44)*(-1))</f>
        <v>0</v>
      </c>
      <c r="D47" s="29">
        <f t="shared" ref="D47:V47" si="7">IF((D29-D44) &gt; 0, 0, (D29-D44)*(-1))</f>
        <v>0</v>
      </c>
      <c r="E47" s="29">
        <f t="shared" si="7"/>
        <v>0</v>
      </c>
      <c r="F47" s="29">
        <f t="shared" si="7"/>
        <v>0</v>
      </c>
      <c r="G47" s="29">
        <f t="shared" si="7"/>
        <v>0</v>
      </c>
      <c r="H47" s="29">
        <f t="shared" si="7"/>
        <v>0</v>
      </c>
      <c r="I47" s="29">
        <f t="shared" si="7"/>
        <v>0</v>
      </c>
      <c r="J47" s="29">
        <f t="shared" si="7"/>
        <v>0</v>
      </c>
      <c r="K47" s="29">
        <f t="shared" si="7"/>
        <v>0</v>
      </c>
      <c r="L47" s="29">
        <f t="shared" si="7"/>
        <v>0</v>
      </c>
      <c r="M47" s="29">
        <f t="shared" si="7"/>
        <v>0</v>
      </c>
      <c r="N47" s="29">
        <f t="shared" si="7"/>
        <v>0</v>
      </c>
      <c r="O47" s="29">
        <f t="shared" si="7"/>
        <v>0</v>
      </c>
      <c r="P47" s="29">
        <f t="shared" si="7"/>
        <v>0</v>
      </c>
      <c r="Q47" s="29">
        <f t="shared" si="7"/>
        <v>0</v>
      </c>
      <c r="R47" s="29">
        <f t="shared" si="7"/>
        <v>0</v>
      </c>
      <c r="S47" s="29">
        <f t="shared" si="7"/>
        <v>0</v>
      </c>
      <c r="T47" s="29">
        <f t="shared" si="7"/>
        <v>0</v>
      </c>
      <c r="U47" s="29">
        <f t="shared" si="7"/>
        <v>0</v>
      </c>
      <c r="V47" s="29">
        <f t="shared" si="7"/>
        <v>0</v>
      </c>
      <c r="W47" s="26"/>
    </row>
    <row r="48" spans="1:23" ht="15.75" x14ac:dyDescent="0.25">
      <c r="A48" s="13">
        <v>4</v>
      </c>
      <c r="B48" s="7" t="s">
        <v>78</v>
      </c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2"/>
      <c r="U48" s="32"/>
      <c r="V48" s="32"/>
      <c r="W48" s="26"/>
    </row>
    <row r="49" spans="1:23" ht="15.75" x14ac:dyDescent="0.25">
      <c r="A49" s="13">
        <v>5</v>
      </c>
      <c r="B49" s="13" t="s">
        <v>70</v>
      </c>
      <c r="C49" s="29">
        <f>C46*C48</f>
        <v>0</v>
      </c>
      <c r="D49" s="29">
        <f t="shared" ref="D49:V49" si="8">D46*D48</f>
        <v>0</v>
      </c>
      <c r="E49" s="29">
        <f t="shared" si="8"/>
        <v>0</v>
      </c>
      <c r="F49" s="29">
        <f t="shared" si="8"/>
        <v>0</v>
      </c>
      <c r="G49" s="29">
        <f t="shared" si="8"/>
        <v>0</v>
      </c>
      <c r="H49" s="29">
        <f t="shared" si="8"/>
        <v>0</v>
      </c>
      <c r="I49" s="29">
        <f t="shared" si="8"/>
        <v>0</v>
      </c>
      <c r="J49" s="29">
        <f t="shared" si="8"/>
        <v>0</v>
      </c>
      <c r="K49" s="29">
        <f t="shared" si="8"/>
        <v>0</v>
      </c>
      <c r="L49" s="29">
        <f t="shared" si="8"/>
        <v>0</v>
      </c>
      <c r="M49" s="29">
        <f t="shared" si="8"/>
        <v>0</v>
      </c>
      <c r="N49" s="29">
        <f t="shared" si="8"/>
        <v>0</v>
      </c>
      <c r="O49" s="29">
        <f t="shared" si="8"/>
        <v>0</v>
      </c>
      <c r="P49" s="29">
        <f t="shared" si="8"/>
        <v>0</v>
      </c>
      <c r="Q49" s="29">
        <f t="shared" si="8"/>
        <v>0</v>
      </c>
      <c r="R49" s="29">
        <f t="shared" si="8"/>
        <v>0</v>
      </c>
      <c r="S49" s="29">
        <f t="shared" si="8"/>
        <v>0</v>
      </c>
      <c r="T49" s="29">
        <f t="shared" si="8"/>
        <v>0</v>
      </c>
      <c r="U49" s="29">
        <f t="shared" si="8"/>
        <v>0</v>
      </c>
      <c r="V49" s="29">
        <f t="shared" si="8"/>
        <v>0</v>
      </c>
      <c r="W49" s="26"/>
    </row>
    <row r="50" spans="1:23" ht="15.75" x14ac:dyDescent="0.25">
      <c r="A50" s="13">
        <v>6</v>
      </c>
      <c r="B50" s="13" t="s">
        <v>71</v>
      </c>
      <c r="C50" s="29">
        <f>C47*C48</f>
        <v>0</v>
      </c>
      <c r="D50" s="29">
        <f t="shared" ref="D50:V50" si="9">D47*D48</f>
        <v>0</v>
      </c>
      <c r="E50" s="29">
        <f t="shared" si="9"/>
        <v>0</v>
      </c>
      <c r="F50" s="29">
        <f t="shared" si="9"/>
        <v>0</v>
      </c>
      <c r="G50" s="29">
        <f t="shared" si="9"/>
        <v>0</v>
      </c>
      <c r="H50" s="29">
        <f t="shared" si="9"/>
        <v>0</v>
      </c>
      <c r="I50" s="29">
        <f t="shared" si="9"/>
        <v>0</v>
      </c>
      <c r="J50" s="29">
        <f t="shared" si="9"/>
        <v>0</v>
      </c>
      <c r="K50" s="29">
        <f t="shared" si="9"/>
        <v>0</v>
      </c>
      <c r="L50" s="29">
        <f t="shared" si="9"/>
        <v>0</v>
      </c>
      <c r="M50" s="29">
        <f t="shared" si="9"/>
        <v>0</v>
      </c>
      <c r="N50" s="29">
        <f t="shared" si="9"/>
        <v>0</v>
      </c>
      <c r="O50" s="29">
        <f t="shared" si="9"/>
        <v>0</v>
      </c>
      <c r="P50" s="29">
        <f t="shared" si="9"/>
        <v>0</v>
      </c>
      <c r="Q50" s="29">
        <f t="shared" si="9"/>
        <v>0</v>
      </c>
      <c r="R50" s="29">
        <f t="shared" si="9"/>
        <v>0</v>
      </c>
      <c r="S50" s="29">
        <f t="shared" si="9"/>
        <v>0</v>
      </c>
      <c r="T50" s="29">
        <f t="shared" si="9"/>
        <v>0</v>
      </c>
      <c r="U50" s="29">
        <f t="shared" si="9"/>
        <v>0</v>
      </c>
      <c r="V50" s="29">
        <f t="shared" si="9"/>
        <v>0</v>
      </c>
      <c r="W50" s="26"/>
    </row>
    <row r="51" spans="1:23" ht="15.75" x14ac:dyDescent="0.25">
      <c r="A51" s="13">
        <v>7</v>
      </c>
      <c r="B51" s="16" t="s">
        <v>72</v>
      </c>
      <c r="C51" s="29">
        <f>MAX(C49:C50)</f>
        <v>0</v>
      </c>
      <c r="D51" s="29">
        <f>MAX(D49:D50)</f>
        <v>0</v>
      </c>
      <c r="E51" s="29">
        <f>MAX(E49:E50)</f>
        <v>0</v>
      </c>
      <c r="F51" s="29">
        <f>MAX(F49:F50)</f>
        <v>0</v>
      </c>
      <c r="G51" s="29">
        <f t="shared" ref="G51:V51" si="10">MAX(G49:G50)</f>
        <v>0</v>
      </c>
      <c r="H51" s="29">
        <f t="shared" si="10"/>
        <v>0</v>
      </c>
      <c r="I51" s="29">
        <f t="shared" si="10"/>
        <v>0</v>
      </c>
      <c r="J51" s="29">
        <f t="shared" si="10"/>
        <v>0</v>
      </c>
      <c r="K51" s="29">
        <f>MAX(K49:K50)</f>
        <v>0</v>
      </c>
      <c r="L51" s="29">
        <f t="shared" si="10"/>
        <v>0</v>
      </c>
      <c r="M51" s="29">
        <f t="shared" si="10"/>
        <v>0</v>
      </c>
      <c r="N51" s="29">
        <f t="shared" si="10"/>
        <v>0</v>
      </c>
      <c r="O51" s="29">
        <f t="shared" si="10"/>
        <v>0</v>
      </c>
      <c r="P51" s="29">
        <f t="shared" si="10"/>
        <v>0</v>
      </c>
      <c r="Q51" s="29">
        <f t="shared" si="10"/>
        <v>0</v>
      </c>
      <c r="R51" s="29">
        <f t="shared" si="10"/>
        <v>0</v>
      </c>
      <c r="S51" s="29">
        <f t="shared" si="10"/>
        <v>0</v>
      </c>
      <c r="T51" s="29">
        <f t="shared" si="10"/>
        <v>0</v>
      </c>
      <c r="U51" s="29">
        <f t="shared" si="10"/>
        <v>0</v>
      </c>
      <c r="V51" s="29">
        <f t="shared" si="10"/>
        <v>0</v>
      </c>
      <c r="W51" s="26"/>
    </row>
    <row r="52" spans="1:23" ht="15.75" x14ac:dyDescent="0.25">
      <c r="A52" s="13">
        <v>7.1</v>
      </c>
      <c r="B52" s="16" t="s">
        <v>73</v>
      </c>
      <c r="C52" s="29" t="e">
        <f>C51/$W$57*100</f>
        <v>#DIV/0!</v>
      </c>
      <c r="D52" s="29" t="e">
        <f>D51/$W$57*100</f>
        <v>#DIV/0!</v>
      </c>
      <c r="E52" s="29" t="e">
        <f>E51/$W$57*100</f>
        <v>#DIV/0!</v>
      </c>
      <c r="F52" s="29" t="e">
        <f>F51/$W$57*100</f>
        <v>#DIV/0!</v>
      </c>
      <c r="G52" s="29" t="e">
        <f>G51/$W$57*100</f>
        <v>#DIV/0!</v>
      </c>
      <c r="H52" s="29" t="e">
        <f t="shared" ref="H52:U52" si="11">H51/$W$57*100</f>
        <v>#DIV/0!</v>
      </c>
      <c r="I52" s="29" t="e">
        <f t="shared" si="11"/>
        <v>#DIV/0!</v>
      </c>
      <c r="J52" s="29" t="e">
        <f t="shared" si="11"/>
        <v>#DIV/0!</v>
      </c>
      <c r="K52" s="29" t="e">
        <f t="shared" si="11"/>
        <v>#DIV/0!</v>
      </c>
      <c r="L52" s="29" t="e">
        <f t="shared" si="11"/>
        <v>#DIV/0!</v>
      </c>
      <c r="M52" s="29" t="e">
        <f t="shared" si="11"/>
        <v>#DIV/0!</v>
      </c>
      <c r="N52" s="29" t="e">
        <f t="shared" si="11"/>
        <v>#DIV/0!</v>
      </c>
      <c r="O52" s="29" t="e">
        <f t="shared" si="11"/>
        <v>#DIV/0!</v>
      </c>
      <c r="P52" s="29" t="e">
        <f t="shared" si="11"/>
        <v>#DIV/0!</v>
      </c>
      <c r="Q52" s="29" t="e">
        <f t="shared" si="11"/>
        <v>#DIV/0!</v>
      </c>
      <c r="R52" s="29" t="e">
        <f t="shared" si="11"/>
        <v>#DIV/0!</v>
      </c>
      <c r="S52" s="29" t="e">
        <f t="shared" si="11"/>
        <v>#DIV/0!</v>
      </c>
      <c r="T52" s="29" t="e">
        <f t="shared" si="11"/>
        <v>#DIV/0!</v>
      </c>
      <c r="U52" s="29" t="e">
        <f t="shared" si="11"/>
        <v>#DIV/0!</v>
      </c>
      <c r="V52" s="29" t="e">
        <f>V51/$W$57*100</f>
        <v>#DIV/0!</v>
      </c>
      <c r="W52" s="26"/>
    </row>
    <row r="53" spans="1:23" x14ac:dyDescent="0.25">
      <c r="A53" s="7">
        <v>8</v>
      </c>
      <c r="B53" s="55" t="s">
        <v>61</v>
      </c>
      <c r="C53" s="56"/>
      <c r="D53" s="56"/>
      <c r="E53" s="56"/>
      <c r="F53" s="56"/>
      <c r="G53" s="56"/>
      <c r="H53" s="56"/>
      <c r="I53" s="56"/>
      <c r="J53" s="56"/>
      <c r="K53" s="56"/>
      <c r="L53" s="56"/>
      <c r="M53" s="56"/>
      <c r="N53" s="56"/>
      <c r="O53" s="56"/>
      <c r="P53" s="56"/>
      <c r="Q53" s="56"/>
      <c r="R53" s="56"/>
      <c r="S53" s="56"/>
      <c r="T53" s="56"/>
      <c r="U53" s="56"/>
      <c r="V53" s="57"/>
      <c r="W53" s="27"/>
    </row>
    <row r="54" spans="1:23" ht="15.75" x14ac:dyDescent="0.25">
      <c r="A54" s="17">
        <v>8.1</v>
      </c>
      <c r="B54" s="15" t="s">
        <v>90</v>
      </c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9">
        <f>SUM(C49:V49)</f>
        <v>0</v>
      </c>
    </row>
    <row r="55" spans="1:23" ht="15.75" x14ac:dyDescent="0.25">
      <c r="A55" s="17">
        <v>8.1999999999999993</v>
      </c>
      <c r="B55" s="15" t="s">
        <v>91</v>
      </c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9">
        <f>SUM(C50:V50)</f>
        <v>0</v>
      </c>
    </row>
    <row r="56" spans="1:23" ht="15.75" x14ac:dyDescent="0.25">
      <c r="A56" s="17">
        <v>8.3000000000000007</v>
      </c>
      <c r="B56" s="15" t="s">
        <v>62</v>
      </c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9">
        <f>MAX(W54,W55)</f>
        <v>0</v>
      </c>
    </row>
    <row r="57" spans="1:23" ht="15.75" x14ac:dyDescent="0.25">
      <c r="A57" s="17">
        <v>8.4</v>
      </c>
      <c r="B57" s="15" t="s">
        <v>63</v>
      </c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30"/>
    </row>
    <row r="58" spans="1:23" ht="15.75" x14ac:dyDescent="0.25">
      <c r="A58" s="17">
        <v>8.5</v>
      </c>
      <c r="B58" s="15" t="s">
        <v>77</v>
      </c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9">
        <f>0.18*W57</f>
        <v>0</v>
      </c>
    </row>
    <row r="59" spans="1:23" ht="15.75" x14ac:dyDescent="0.25">
      <c r="A59" s="17">
        <v>8.6</v>
      </c>
      <c r="B59" s="15" t="s">
        <v>64</v>
      </c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9" t="e">
        <f>W56/W57*100</f>
        <v>#DIV/0!</v>
      </c>
    </row>
    <row r="60" spans="1:23" ht="27.6" customHeight="1" x14ac:dyDescent="0.25">
      <c r="B60" s="58" t="s">
        <v>92</v>
      </c>
      <c r="C60" s="59"/>
      <c r="D60" s="59"/>
      <c r="E60" s="59"/>
      <c r="F60" s="59"/>
      <c r="G60" s="59"/>
      <c r="H60" s="59"/>
      <c r="I60" s="59"/>
      <c r="J60" s="59"/>
      <c r="K60" s="59"/>
      <c r="L60" s="59"/>
      <c r="M60" s="59"/>
      <c r="N60" s="18"/>
      <c r="O60" s="18"/>
      <c r="P60" s="18"/>
      <c r="Q60" s="18"/>
      <c r="R60" s="18"/>
      <c r="S60" s="18"/>
      <c r="T60" s="18"/>
      <c r="U60" s="18"/>
      <c r="V60" s="18"/>
      <c r="W60" s="18"/>
    </row>
    <row r="61" spans="1:23" x14ac:dyDescent="0.25"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</row>
    <row r="62" spans="1:23" x14ac:dyDescent="0.25">
      <c r="A62" s="19"/>
      <c r="B62" s="52"/>
      <c r="C62" s="52"/>
      <c r="D62" s="20"/>
      <c r="E62" s="20"/>
      <c r="F62" s="20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</row>
    <row r="63" spans="1:23" x14ac:dyDescent="0.25">
      <c r="A63" s="19"/>
      <c r="B63" s="19"/>
      <c r="C63" s="19"/>
      <c r="D63" s="21"/>
      <c r="E63" s="21"/>
      <c r="F63" s="21"/>
    </row>
    <row r="64" spans="1:23" x14ac:dyDescent="0.25">
      <c r="A64" s="19"/>
      <c r="B64" s="19"/>
      <c r="C64" s="19"/>
      <c r="D64" s="21"/>
      <c r="E64" s="21"/>
      <c r="F64" s="21"/>
    </row>
    <row r="65" spans="1:6" x14ac:dyDescent="0.25">
      <c r="A65" s="19"/>
      <c r="B65" s="19"/>
      <c r="C65" s="19"/>
      <c r="D65" s="21"/>
      <c r="E65" s="21"/>
      <c r="F65" s="21"/>
    </row>
    <row r="66" spans="1:6" x14ac:dyDescent="0.25">
      <c r="A66" s="19"/>
      <c r="B66" s="19"/>
      <c r="C66" s="19"/>
      <c r="D66" s="21"/>
      <c r="E66" s="21"/>
      <c r="F66" s="21"/>
    </row>
    <row r="67" spans="1:6" x14ac:dyDescent="0.25">
      <c r="A67" s="19"/>
      <c r="B67" s="19"/>
      <c r="C67" s="19"/>
      <c r="D67" s="21"/>
      <c r="E67" s="21"/>
      <c r="F67" s="21"/>
    </row>
    <row r="68" spans="1:6" x14ac:dyDescent="0.25">
      <c r="A68" s="19"/>
      <c r="B68" s="19"/>
      <c r="C68" s="19"/>
      <c r="D68" s="21"/>
      <c r="E68" s="21"/>
      <c r="F68" s="21"/>
    </row>
    <row r="69" spans="1:6" x14ac:dyDescent="0.25">
      <c r="A69" s="19"/>
      <c r="B69" s="19"/>
      <c r="C69" s="19"/>
      <c r="D69" s="21"/>
      <c r="E69" s="21"/>
      <c r="F69" s="21"/>
    </row>
    <row r="70" spans="1:6" x14ac:dyDescent="0.25">
      <c r="A70" s="19"/>
      <c r="B70" s="19"/>
      <c r="C70" s="19"/>
      <c r="D70" s="21"/>
      <c r="E70" s="21"/>
      <c r="F70" s="21"/>
    </row>
    <row r="71" spans="1:6" x14ac:dyDescent="0.25">
      <c r="A71" s="19"/>
      <c r="B71" s="19"/>
      <c r="C71" s="19"/>
      <c r="D71" s="21"/>
      <c r="E71" s="21"/>
      <c r="F71" s="21"/>
    </row>
    <row r="72" spans="1:6" x14ac:dyDescent="0.25">
      <c r="A72" s="19"/>
      <c r="B72" s="19"/>
      <c r="C72" s="19"/>
      <c r="D72" s="21"/>
      <c r="E72" s="21"/>
      <c r="F72" s="21"/>
    </row>
    <row r="73" spans="1:6" x14ac:dyDescent="0.25">
      <c r="A73" s="19"/>
      <c r="B73" s="19"/>
      <c r="C73" s="19"/>
      <c r="D73" s="21"/>
      <c r="E73" s="21"/>
      <c r="F73" s="21"/>
    </row>
    <row r="74" spans="1:6" x14ac:dyDescent="0.25">
      <c r="A74" s="19"/>
      <c r="B74" s="19"/>
      <c r="C74" s="19"/>
      <c r="D74" s="21"/>
      <c r="E74" s="21"/>
      <c r="F74" s="21"/>
    </row>
    <row r="75" spans="1:6" x14ac:dyDescent="0.25">
      <c r="A75" s="19"/>
      <c r="B75" s="19"/>
      <c r="C75" s="19"/>
      <c r="D75" s="21"/>
      <c r="E75" s="21"/>
      <c r="F75" s="21"/>
    </row>
    <row r="76" spans="1:6" x14ac:dyDescent="0.25">
      <c r="A76" s="19"/>
      <c r="B76" s="19"/>
      <c r="C76" s="19"/>
      <c r="D76" s="21"/>
      <c r="E76" s="21"/>
      <c r="F76" s="21"/>
    </row>
    <row r="77" spans="1:6" x14ac:dyDescent="0.25">
      <c r="A77" s="19"/>
      <c r="B77" s="19"/>
      <c r="C77" s="19"/>
      <c r="D77" s="21"/>
      <c r="E77" s="21"/>
      <c r="F77" s="21"/>
    </row>
    <row r="78" spans="1:6" x14ac:dyDescent="0.25">
      <c r="A78" s="19"/>
      <c r="B78" s="19"/>
      <c r="C78" s="19"/>
      <c r="D78" s="21"/>
      <c r="E78" s="21"/>
      <c r="F78" s="21"/>
    </row>
    <row r="79" spans="1:6" x14ac:dyDescent="0.25">
      <c r="A79" s="19"/>
      <c r="B79" s="19"/>
      <c r="C79" s="19"/>
      <c r="D79" s="21"/>
      <c r="E79" s="21"/>
      <c r="F79" s="21"/>
    </row>
    <row r="80" spans="1:6" x14ac:dyDescent="0.25">
      <c r="A80" s="19"/>
      <c r="B80" s="21"/>
      <c r="C80" s="21"/>
      <c r="D80" s="21"/>
      <c r="E80" s="21"/>
      <c r="F80" s="21"/>
    </row>
  </sheetData>
  <sheetProtection password="CCE3" sheet="1" objects="1" scenarios="1"/>
  <mergeCells count="18">
    <mergeCell ref="B62:C62"/>
    <mergeCell ref="B30:V30"/>
    <mergeCell ref="B45:V45"/>
    <mergeCell ref="B53:V53"/>
    <mergeCell ref="B60:M60"/>
    <mergeCell ref="A1:B1"/>
    <mergeCell ref="A14:A15"/>
    <mergeCell ref="B14:B15"/>
    <mergeCell ref="B4:W7"/>
    <mergeCell ref="B16:V16"/>
    <mergeCell ref="C14:S14"/>
    <mergeCell ref="C8:D8"/>
    <mergeCell ref="C9:D9"/>
    <mergeCell ref="C10:D10"/>
    <mergeCell ref="C11:D11"/>
    <mergeCell ref="W14:W15"/>
    <mergeCell ref="T14:V14"/>
    <mergeCell ref="C13:V13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Open Position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Abera Ayalew</dc:creator>
  <cp:lastModifiedBy>Kalkidan Getahun Zewde</cp:lastModifiedBy>
  <cp:lastPrinted>2025-10-24T13:42:39Z</cp:lastPrinted>
  <dcterms:created xsi:type="dcterms:W3CDTF">2025-09-12T05:18:53Z</dcterms:created>
  <dcterms:modified xsi:type="dcterms:W3CDTF">2026-08-07T10:39:49Z</dcterms:modified>
</cp:coreProperties>
</file>