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ILE\Documents\FY 2026-27\August, 2026\"/>
    </mc:Choice>
  </mc:AlternateContent>
  <bookViews>
    <workbookView xWindow="480" yWindow="90" windowWidth="22995" windowHeight="9795"/>
  </bookViews>
  <sheets>
    <sheet name="Single Borrower" sheetId="2" r:id="rId1"/>
  </sheets>
  <calcPr calcId="152511"/>
</workbook>
</file>

<file path=xl/calcChain.xml><?xml version="1.0" encoding="utf-8"?>
<calcChain xmlns="http://schemas.openxmlformats.org/spreadsheetml/2006/main">
  <c r="O19" i="2" l="1"/>
  <c r="H19" i="2" l="1"/>
  <c r="G19" i="2"/>
  <c r="F19" i="2"/>
  <c r="I19" i="2" l="1"/>
  <c r="L19" i="2" s="1"/>
  <c r="I18" i="2"/>
  <c r="L18" i="2" s="1"/>
  <c r="R18" i="2" s="1"/>
  <c r="I17" i="2"/>
  <c r="L17" i="2" s="1"/>
  <c r="R17" i="2" s="1"/>
  <c r="I16" i="2"/>
  <c r="L16" i="2" s="1"/>
  <c r="R16" i="2" s="1"/>
  <c r="I15" i="2"/>
  <c r="L15" i="2" s="1"/>
  <c r="R15" i="2" s="1"/>
  <c r="I14" i="2"/>
  <c r="L14" i="2" s="1"/>
  <c r="R14" i="2" s="1"/>
  <c r="I13" i="2"/>
  <c r="L13" i="2" s="1"/>
  <c r="R13" i="2" s="1"/>
  <c r="I12" i="2"/>
  <c r="L12" i="2" s="1"/>
  <c r="R12" i="2" s="1"/>
  <c r="I11" i="2"/>
  <c r="L11" i="2" s="1"/>
  <c r="I27" i="2" l="1"/>
  <c r="R11" i="2"/>
  <c r="P17" i="2"/>
  <c r="S17" i="2" s="1"/>
  <c r="A17" i="2" s="1"/>
  <c r="P12" i="2" l="1"/>
  <c r="S12" i="2" s="1"/>
  <c r="A12" i="2" s="1"/>
  <c r="P18" i="2"/>
  <c r="S18" i="2" s="1"/>
  <c r="A18" i="2" s="1"/>
  <c r="P15" i="2"/>
  <c r="S15" i="2" s="1"/>
  <c r="A15" i="2" s="1"/>
  <c r="P14" i="2"/>
  <c r="S14" i="2" s="1"/>
  <c r="A14" i="2" s="1"/>
  <c r="P13" i="2"/>
  <c r="S13" i="2" s="1"/>
  <c r="A13" i="2" s="1"/>
  <c r="P11" i="2"/>
  <c r="S11" i="2" s="1"/>
  <c r="P16" i="2"/>
  <c r="S16" i="2" s="1"/>
  <c r="A16" i="2" s="1"/>
  <c r="J27" i="2" l="1"/>
  <c r="A11" i="2"/>
  <c r="G27" i="2" l="1"/>
  <c r="D27" i="2"/>
  <c r="E27" i="2"/>
  <c r="H27" i="2"/>
  <c r="F27" i="2"/>
</calcChain>
</file>

<file path=xl/sharedStrings.xml><?xml version="1.0" encoding="utf-8"?>
<sst xmlns="http://schemas.openxmlformats.org/spreadsheetml/2006/main" count="71" uniqueCount="49">
  <si>
    <t xml:space="preserve">Instiution Code </t>
  </si>
  <si>
    <t>Financial Year</t>
  </si>
  <si>
    <t>Start Date</t>
  </si>
  <si>
    <t>End Date</t>
  </si>
  <si>
    <t>(In millions of Birr)</t>
  </si>
  <si>
    <t>Name of Counterparty*</t>
  </si>
  <si>
    <t>Type of Exposure</t>
  </si>
  <si>
    <t>Sector of Exposure</t>
  </si>
  <si>
    <t>Approved Limit/Facility</t>
  </si>
  <si>
    <t>Exposure Amount/ Outstanding Balance (on-balance sheet)</t>
  </si>
  <si>
    <t>Off-balance Sheet Exposure Amount (e.g. guarantee)</t>
  </si>
  <si>
    <t>Maturity Date</t>
  </si>
  <si>
    <t>Status (classification)</t>
  </si>
  <si>
    <t>Collateral</t>
  </si>
  <si>
    <t>A</t>
  </si>
  <si>
    <t>B</t>
  </si>
  <si>
    <t>Type</t>
  </si>
  <si>
    <t>Estimated
/Face value</t>
  </si>
  <si>
    <t>Total</t>
  </si>
  <si>
    <t>Note:</t>
  </si>
  <si>
    <t>*Classification shall be reported in line with relevant Asset Classification and Provisioning Directive of the National Bank</t>
  </si>
  <si>
    <t>Capital</t>
  </si>
  <si>
    <t>Pass</t>
  </si>
  <si>
    <t>Loss</t>
  </si>
  <si>
    <t>Capital of the Bank</t>
  </si>
  <si>
    <t>Status (Classification)</t>
  </si>
  <si>
    <t xml:space="preserve">Percent of Capital (M=L/B*100)
</t>
  </si>
  <si>
    <t>Special Mention</t>
  </si>
  <si>
    <t xml:space="preserve">Substandard </t>
  </si>
  <si>
    <t>Doubtful</t>
  </si>
  <si>
    <t>C=A+B</t>
  </si>
  <si>
    <t>Total Outstanding Balance After Deduction Cash and Cash Equivalent</t>
  </si>
  <si>
    <t>Total Outstanding Balance</t>
  </si>
  <si>
    <t>Name of Counterparty</t>
  </si>
  <si>
    <t>S/N</t>
  </si>
  <si>
    <t>Exposure Amount (A+B) as Percent of Total Capital</t>
  </si>
  <si>
    <t xml:space="preserve">Monthly Return on Large Exposures
List of Counterparties that Exceed Ten Percent of the Bank’s Total Capital </t>
  </si>
  <si>
    <t>BOR_TEN_PER_LB002</t>
  </si>
  <si>
    <t>AMG STEEL FACTORY/ABDULHAKIMMOHAMM</t>
  </si>
  <si>
    <t>AL</t>
  </si>
  <si>
    <t>AFRISKY PLC </t>
  </si>
  <si>
    <t>African Oil Plc</t>
  </si>
  <si>
    <t>TL</t>
  </si>
  <si>
    <t xml:space="preserve">OD </t>
  </si>
  <si>
    <t>LC</t>
  </si>
  <si>
    <t>Import</t>
  </si>
  <si>
    <t>Export</t>
  </si>
  <si>
    <t>Manufacturing</t>
  </si>
  <si>
    <t>Domestic Trade and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</si>
</sst>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0"/>
      <color theme="1"/>
      <name val="Tahoma"/>
      <family val="2"/>
    </font>
    <font>
      <i/>
      <sz val="9"/>
      <color theme="1"/>
      <name val="Verdana"/>
      <family val="2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ahoma"/>
      <family val="2"/>
    </font>
    <font>
      <b/>
      <sz val="11"/>
      <color theme="1"/>
      <name val="Times New Roman"/>
      <family val="1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rgb="FFC00000"/>
      </top>
      <bottom/>
      <diagonal/>
    </border>
    <border>
      <left style="thin">
        <color indexed="64"/>
      </left>
      <right style="thin">
        <color indexed="64"/>
      </right>
      <top style="medium">
        <color rgb="FFC00000"/>
      </top>
      <bottom/>
      <diagonal/>
    </border>
    <border>
      <left style="thin">
        <color auto="1"/>
      </left>
      <right style="thin">
        <color auto="1"/>
      </right>
      <top style="medium">
        <color rgb="FFC00000"/>
      </top>
      <bottom style="thin">
        <color auto="1"/>
      </bottom>
      <diagonal/>
    </border>
    <border>
      <left style="thin">
        <color auto="1"/>
      </left>
      <right style="medium">
        <color rgb="FFC00000"/>
      </right>
      <top style="medium">
        <color rgb="FFC00000"/>
      </top>
      <bottom style="thin">
        <color auto="1"/>
      </bottom>
      <diagonal/>
    </border>
    <border>
      <left/>
      <right style="thin">
        <color auto="1"/>
      </right>
      <top/>
      <bottom style="medium">
        <color rgb="FFC00000"/>
      </bottom>
      <diagonal/>
    </border>
    <border>
      <left style="thin">
        <color indexed="64"/>
      </left>
      <right style="thin">
        <color indexed="64"/>
      </right>
      <top/>
      <bottom style="medium">
        <color rgb="FFC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C00000"/>
      </bottom>
      <diagonal/>
    </border>
    <border>
      <left style="thin">
        <color auto="1"/>
      </left>
      <right style="medium">
        <color rgb="FFC00000"/>
      </right>
      <top style="thin">
        <color auto="1"/>
      </top>
      <bottom style="medium">
        <color rgb="FFC00000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medium">
        <color rgb="FFC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C00000"/>
      </right>
      <top/>
      <bottom style="thin">
        <color auto="1"/>
      </bottom>
      <diagonal/>
    </border>
    <border>
      <left style="medium">
        <color rgb="FFC00000"/>
      </left>
      <right style="thin">
        <color auto="1"/>
      </right>
      <top style="thin">
        <color auto="1"/>
      </top>
      <bottom style="medium">
        <color rgb="FFC00000"/>
      </bottom>
      <diagonal/>
    </border>
    <border>
      <left/>
      <right style="thin">
        <color auto="1"/>
      </right>
      <top style="thin">
        <color auto="1"/>
      </top>
      <bottom style="medium">
        <color rgb="FFC00000"/>
      </bottom>
      <diagonal/>
    </border>
    <border>
      <left style="medium">
        <color rgb="FFC00000"/>
      </left>
      <right style="thin">
        <color auto="1"/>
      </right>
      <top/>
      <bottom style="thin">
        <color auto="1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67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0" borderId="3" xfId="0" applyBorder="1"/>
    <xf numFmtId="0" fontId="0" fillId="4" borderId="0" xfId="0" applyFill="1" applyBorder="1"/>
    <xf numFmtId="0" fontId="3" fillId="4" borderId="0" xfId="0" applyFont="1" applyFill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vertical="center"/>
    </xf>
    <xf numFmtId="0" fontId="4" fillId="0" borderId="0" xfId="0" applyFont="1"/>
    <xf numFmtId="0" fontId="9" fillId="4" borderId="1" xfId="0" applyFont="1" applyFill="1" applyBorder="1"/>
    <xf numFmtId="39" fontId="8" fillId="4" borderId="1" xfId="0" applyNumberFormat="1" applyFont="1" applyFill="1" applyBorder="1"/>
    <xf numFmtId="39" fontId="8" fillId="4" borderId="1" xfId="0" applyNumberFormat="1" applyFont="1" applyFill="1" applyBorder="1" applyAlignment="1">
      <alignment horizontal="center"/>
    </xf>
    <xf numFmtId="39" fontId="9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0" xfId="0" applyFont="1"/>
    <xf numFmtId="0" fontId="10" fillId="0" borderId="0" xfId="0" applyFont="1"/>
    <xf numFmtId="0" fontId="0" fillId="3" borderId="4" xfId="0" applyFill="1" applyBorder="1"/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 wrapText="1"/>
    </xf>
    <xf numFmtId="0" fontId="0" fillId="0" borderId="4" xfId="0" applyBorder="1"/>
    <xf numFmtId="43" fontId="0" fillId="0" borderId="4" xfId="1" applyFont="1" applyBorder="1"/>
    <xf numFmtId="14" fontId="0" fillId="0" borderId="4" xfId="0" applyNumberFormat="1" applyBorder="1"/>
    <xf numFmtId="0" fontId="0" fillId="0" borderId="4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/>
    </xf>
    <xf numFmtId="39" fontId="9" fillId="0" borderId="4" xfId="0" applyNumberFormat="1" applyFont="1" applyBorder="1" applyAlignment="1">
      <alignment horizontal="center" vertical="top" wrapText="1"/>
    </xf>
    <xf numFmtId="39" fontId="9" fillId="0" borderId="1" xfId="0" applyNumberFormat="1" applyFont="1" applyBorder="1" applyAlignment="1">
      <alignment horizontal="center" vertical="top" wrapText="1"/>
    </xf>
    <xf numFmtId="2" fontId="12" fillId="0" borderId="4" xfId="1" applyNumberFormat="1" applyFont="1" applyBorder="1"/>
    <xf numFmtId="2" fontId="12" fillId="0" borderId="1" xfId="1" applyNumberFormat="1" applyFont="1" applyBorder="1"/>
    <xf numFmtId="0" fontId="6" fillId="5" borderId="1" xfId="0" applyFont="1" applyFill="1" applyBorder="1" applyAlignment="1">
      <alignment vertical="center"/>
    </xf>
    <xf numFmtId="0" fontId="8" fillId="6" borderId="1" xfId="0" applyFont="1" applyFill="1" applyBorder="1"/>
    <xf numFmtId="0" fontId="1" fillId="0" borderId="15" xfId="0" applyFont="1" applyBorder="1" applyAlignment="1">
      <alignment horizontal="center" wrapText="1"/>
    </xf>
    <xf numFmtId="0" fontId="0" fillId="0" borderId="17" xfId="0" applyBorder="1"/>
    <xf numFmtId="43" fontId="0" fillId="0" borderId="18" xfId="1" applyFont="1" applyBorder="1"/>
    <xf numFmtId="0" fontId="0" fillId="0" borderId="19" xfId="0" applyBorder="1"/>
    <xf numFmtId="0" fontId="0" fillId="0" borderId="20" xfId="0" applyBorder="1"/>
    <xf numFmtId="2" fontId="1" fillId="0" borderId="14" xfId="1" applyNumberFormat="1" applyFont="1" applyBorder="1"/>
    <xf numFmtId="0" fontId="0" fillId="0" borderId="14" xfId="0" applyBorder="1"/>
    <xf numFmtId="2" fontId="1" fillId="0" borderId="14" xfId="0" applyNumberFormat="1" applyFont="1" applyBorder="1" applyAlignment="1">
      <alignment horizontal="center"/>
    </xf>
    <xf numFmtId="43" fontId="0" fillId="0" borderId="15" xfId="1" applyFont="1" applyBorder="1"/>
    <xf numFmtId="0" fontId="0" fillId="0" borderId="21" xfId="0" applyBorder="1"/>
    <xf numFmtId="0" fontId="1" fillId="0" borderId="20" xfId="0" applyFont="1" applyBorder="1" applyAlignment="1">
      <alignment horizontal="center"/>
    </xf>
    <xf numFmtId="0" fontId="13" fillId="0" borderId="0" xfId="0" applyFont="1"/>
    <xf numFmtId="0" fontId="0" fillId="3" borderId="4" xfId="0" applyFill="1" applyBorder="1" applyProtection="1">
      <protection locked="0"/>
    </xf>
    <xf numFmtId="0" fontId="0" fillId="3" borderId="1" xfId="0" applyFill="1" applyBorder="1" applyProtection="1">
      <protection locked="0"/>
    </xf>
    <xf numFmtId="14" fontId="0" fillId="3" borderId="1" xfId="0" applyNumberFormat="1" applyFill="1" applyBorder="1" applyProtection="1">
      <protection locked="0"/>
    </xf>
    <xf numFmtId="0" fontId="0" fillId="0" borderId="16" xfId="0" applyBorder="1" applyAlignment="1">
      <alignment horizontal="left"/>
    </xf>
    <xf numFmtId="43" fontId="1" fillId="0" borderId="14" xfId="1" applyFont="1" applyBorder="1"/>
    <xf numFmtId="43" fontId="12" fillId="0" borderId="14" xfId="1" applyFont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14" fontId="0" fillId="0" borderId="4" xfId="0" applyNumberForma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C1" workbookViewId="0">
      <selection activeCell="F14" sqref="F14"/>
    </sheetView>
  </sheetViews>
  <sheetFormatPr defaultRowHeight="15" x14ac:dyDescent="0.25"/>
  <cols>
    <col min="1" max="1" width="12.28515625" hidden="1" customWidth="1"/>
    <col min="2" max="2" width="17.5703125" customWidth="1"/>
    <col min="3" max="3" width="41.85546875" bestFit="1" customWidth="1"/>
    <col min="4" max="4" width="24.42578125" bestFit="1" customWidth="1"/>
    <col min="5" max="6" width="18.85546875" customWidth="1"/>
    <col min="7" max="7" width="20.42578125" customWidth="1"/>
    <col min="8" max="8" width="18.85546875" customWidth="1"/>
    <col min="9" max="9" width="13.28515625" customWidth="1"/>
    <col min="10" max="10" width="17.28515625" customWidth="1"/>
    <col min="11" max="11" width="14.85546875" customWidth="1"/>
    <col min="12" max="12" width="12" customWidth="1"/>
    <col min="13" max="13" width="9.85546875" customWidth="1"/>
    <col min="14" max="14" width="12" customWidth="1"/>
    <col min="15" max="15" width="12.7109375" customWidth="1"/>
    <col min="16" max="16" width="16.5703125" hidden="1" customWidth="1"/>
    <col min="17" max="17" width="16.85546875" hidden="1" customWidth="1"/>
    <col min="18" max="18" width="7.7109375" hidden="1" customWidth="1"/>
    <col min="19" max="19" width="0.85546875" customWidth="1"/>
  </cols>
  <sheetData>
    <row r="1" spans="1:19" x14ac:dyDescent="0.25">
      <c r="A1" s="44" t="s">
        <v>37</v>
      </c>
    </row>
    <row r="3" spans="1:19" ht="15.75" thickBot="1" x14ac:dyDescent="0.3"/>
    <row r="4" spans="1:19" ht="57.75" customHeight="1" thickBot="1" x14ac:dyDescent="0.4">
      <c r="A4" s="53" t="s">
        <v>36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5"/>
    </row>
    <row r="5" spans="1:19" x14ac:dyDescent="0.25">
      <c r="B5" s="16" t="s">
        <v>0</v>
      </c>
      <c r="C5" s="45">
        <v>1</v>
      </c>
    </row>
    <row r="6" spans="1:19" x14ac:dyDescent="0.25">
      <c r="B6" s="1" t="s">
        <v>1</v>
      </c>
      <c r="C6" s="46">
        <v>2026</v>
      </c>
    </row>
    <row r="7" spans="1:19" x14ac:dyDescent="0.25">
      <c r="B7" s="1" t="s">
        <v>2</v>
      </c>
      <c r="C7" s="47">
        <v>46235</v>
      </c>
    </row>
    <row r="8" spans="1:19" ht="15.75" thickBot="1" x14ac:dyDescent="0.3">
      <c r="B8" s="2" t="s">
        <v>3</v>
      </c>
      <c r="C8" s="47">
        <v>46265</v>
      </c>
      <c r="I8" s="3"/>
      <c r="J8" s="6"/>
      <c r="K8" s="4"/>
      <c r="L8" s="5" t="s">
        <v>4</v>
      </c>
      <c r="M8" s="4"/>
      <c r="N8" s="6"/>
    </row>
    <row r="9" spans="1:19" ht="48" customHeight="1" x14ac:dyDescent="0.25">
      <c r="B9" s="56" t="s">
        <v>34</v>
      </c>
      <c r="C9" s="58" t="s">
        <v>5</v>
      </c>
      <c r="D9" s="60" t="s">
        <v>6</v>
      </c>
      <c r="E9" s="62" t="s">
        <v>7</v>
      </c>
      <c r="F9" s="62" t="s">
        <v>8</v>
      </c>
      <c r="G9" s="25" t="s">
        <v>9</v>
      </c>
      <c r="H9" s="25" t="s">
        <v>10</v>
      </c>
      <c r="I9" s="25" t="s">
        <v>32</v>
      </c>
      <c r="J9" s="64" t="s">
        <v>11</v>
      </c>
      <c r="K9" s="60" t="s">
        <v>21</v>
      </c>
      <c r="L9" s="60" t="s">
        <v>35</v>
      </c>
      <c r="M9" s="60" t="s">
        <v>12</v>
      </c>
      <c r="N9" s="51" t="s">
        <v>13</v>
      </c>
      <c r="O9" s="52"/>
    </row>
    <row r="10" spans="1:19" ht="30.75" thickBot="1" x14ac:dyDescent="0.3">
      <c r="B10" s="57"/>
      <c r="C10" s="59"/>
      <c r="D10" s="61"/>
      <c r="E10" s="63"/>
      <c r="F10" s="63"/>
      <c r="G10" s="26" t="s">
        <v>14</v>
      </c>
      <c r="H10" s="26" t="s">
        <v>15</v>
      </c>
      <c r="I10" s="26" t="s">
        <v>30</v>
      </c>
      <c r="J10" s="65"/>
      <c r="K10" s="61"/>
      <c r="L10" s="61"/>
      <c r="M10" s="61"/>
      <c r="N10" s="26" t="s">
        <v>16</v>
      </c>
      <c r="O10" s="33" t="s">
        <v>17</v>
      </c>
    </row>
    <row r="11" spans="1:19" ht="15.75" x14ac:dyDescent="0.25">
      <c r="A11">
        <f>S11</f>
        <v>3.8109999999999999</v>
      </c>
      <c r="B11" s="42">
        <v>1</v>
      </c>
      <c r="C11" s="23" t="s">
        <v>38</v>
      </c>
      <c r="D11" s="22" t="s">
        <v>39</v>
      </c>
      <c r="E11" s="22" t="s">
        <v>46</v>
      </c>
      <c r="F11" s="20">
        <v>8707</v>
      </c>
      <c r="G11" s="20">
        <v>6727.0312217800001</v>
      </c>
      <c r="H11" s="20">
        <v>791.98751128800006</v>
      </c>
      <c r="I11" s="29">
        <f>G11+H11</f>
        <v>7519.0187330680001</v>
      </c>
      <c r="J11" s="21">
        <v>46453</v>
      </c>
      <c r="K11" s="20">
        <v>197320.25750830999</v>
      </c>
      <c r="L11" s="27">
        <f>IF(K11=0,0,I11/K11*100)</f>
        <v>3.810566045278621</v>
      </c>
      <c r="M11" s="19" t="s">
        <v>22</v>
      </c>
      <c r="N11" s="19"/>
      <c r="O11" s="35">
        <v>0</v>
      </c>
      <c r="P11" s="13" t="str">
        <f>IF(R11&lt;&gt;0,R11&amp;COUNTIF($R$11:R11,R11),0)</f>
        <v>3.811</v>
      </c>
      <c r="Q11" s="14" t="s">
        <v>22</v>
      </c>
      <c r="R11" s="13" t="str">
        <f>LEFT(L11,4)</f>
        <v>3.81</v>
      </c>
      <c r="S11" s="13">
        <f>IF(LEFT(P11,1)="0",0,VALUE(P11))</f>
        <v>3.8109999999999999</v>
      </c>
    </row>
    <row r="12" spans="1:19" ht="15.75" x14ac:dyDescent="0.25">
      <c r="A12">
        <f t="shared" ref="A12:A18" si="0">S12</f>
        <v>2.9209999999999998</v>
      </c>
      <c r="B12" s="34">
        <v>2</v>
      </c>
      <c r="C12" s="23" t="s">
        <v>38</v>
      </c>
      <c r="D12" s="22" t="s">
        <v>42</v>
      </c>
      <c r="E12" s="22" t="s">
        <v>47</v>
      </c>
      <c r="F12" s="20">
        <v>5812.4384389999996</v>
      </c>
      <c r="G12" s="20">
        <v>5736.6669197600004</v>
      </c>
      <c r="H12" s="20">
        <v>30.308607695999999</v>
      </c>
      <c r="I12" s="30">
        <f t="shared" ref="I12:I18" si="1">G12+H12</f>
        <v>5766.9755274560002</v>
      </c>
      <c r="J12" s="21">
        <v>49521</v>
      </c>
      <c r="K12" s="20">
        <v>197320.25750830999</v>
      </c>
      <c r="L12" s="28">
        <f t="shared" ref="L12:L18" si="2">IF(K12=0,0,I12/K12*100)</f>
        <v>2.92264747688824</v>
      </c>
      <c r="M12" s="19" t="s">
        <v>22</v>
      </c>
      <c r="N12" s="19"/>
      <c r="O12" s="35">
        <v>0</v>
      </c>
      <c r="P12" s="13" t="str">
        <f>IF(R12&lt;&gt;0,R12&amp;COUNTIF($R$11:R12,R12),0)</f>
        <v>2.921</v>
      </c>
      <c r="Q12" s="14" t="s">
        <v>27</v>
      </c>
      <c r="R12" s="14" t="str">
        <f t="shared" ref="R12:R18" si="3">LEFT(L12,4)</f>
        <v>2.92</v>
      </c>
      <c r="S12" s="13">
        <f>IF(LEFT(P12,1)="0",0,VALUE(P12))</f>
        <v>2.9209999999999998</v>
      </c>
    </row>
    <row r="13" spans="1:19" ht="15.75" x14ac:dyDescent="0.25">
      <c r="A13">
        <f t="shared" si="0"/>
        <v>2.4009999999999998</v>
      </c>
      <c r="B13" s="34">
        <v>3</v>
      </c>
      <c r="C13" s="23" t="s">
        <v>38</v>
      </c>
      <c r="D13" s="22" t="s">
        <v>42</v>
      </c>
      <c r="E13" s="22" t="s">
        <v>47</v>
      </c>
      <c r="F13" s="20">
        <v>4932.5503040000003</v>
      </c>
      <c r="G13" s="20">
        <v>4685.7316537700008</v>
      </c>
      <c r="H13" s="20">
        <v>53.652319175999999</v>
      </c>
      <c r="I13" s="30">
        <f t="shared" si="1"/>
        <v>4739.3839729460005</v>
      </c>
      <c r="J13" s="21">
        <v>49521</v>
      </c>
      <c r="K13" s="20">
        <v>197320.25750830999</v>
      </c>
      <c r="L13" s="28">
        <f t="shared" si="2"/>
        <v>2.4018740056359418</v>
      </c>
      <c r="M13" s="19" t="s">
        <v>22</v>
      </c>
      <c r="N13" s="19"/>
      <c r="O13" s="35">
        <v>0</v>
      </c>
      <c r="P13" s="13" t="str">
        <f>IF(R13&lt;&gt;0,R13&amp;COUNTIF($R$11:R13,R13),0)</f>
        <v>2.401</v>
      </c>
      <c r="Q13" s="14" t="s">
        <v>28</v>
      </c>
      <c r="R13" s="14" t="str">
        <f t="shared" si="3"/>
        <v>2.40</v>
      </c>
      <c r="S13" s="13">
        <f t="shared" ref="S13:S18" si="4">IF(LEFT(P13,1)="0",0,VALUE(P13))</f>
        <v>2.4009999999999998</v>
      </c>
    </row>
    <row r="14" spans="1:19" ht="15.75" x14ac:dyDescent="0.25">
      <c r="A14">
        <f t="shared" si="0"/>
        <v>0</v>
      </c>
      <c r="B14" s="34">
        <v>4</v>
      </c>
      <c r="C14" s="23" t="s">
        <v>38</v>
      </c>
      <c r="D14" s="22" t="s">
        <v>43</v>
      </c>
      <c r="E14" s="22" t="s">
        <v>47</v>
      </c>
      <c r="F14" s="20">
        <v>1750</v>
      </c>
      <c r="G14" s="20">
        <v>1724.9117950899999</v>
      </c>
      <c r="H14" s="20">
        <v>2.5088204910000087</v>
      </c>
      <c r="I14" s="30">
        <f t="shared" si="1"/>
        <v>1727.420615581</v>
      </c>
      <c r="J14" s="21">
        <v>46304</v>
      </c>
      <c r="K14" s="20">
        <v>197320.25750830999</v>
      </c>
      <c r="L14" s="28">
        <f t="shared" si="2"/>
        <v>0.8754400776657465</v>
      </c>
      <c r="M14" s="19" t="s">
        <v>22</v>
      </c>
      <c r="N14" s="19"/>
      <c r="O14" s="35">
        <v>0</v>
      </c>
      <c r="P14" s="13" t="str">
        <f>IF(R14&lt;&gt;0,R14&amp;COUNTIF($R$11:R14,R14),0)</f>
        <v>0.871</v>
      </c>
      <c r="Q14" s="14" t="s">
        <v>29</v>
      </c>
      <c r="R14" s="14" t="str">
        <f t="shared" si="3"/>
        <v>0.87</v>
      </c>
      <c r="S14" s="13">
        <f>IF(LEFT(P14,1)="0",0,VALUE(P14))</f>
        <v>0</v>
      </c>
    </row>
    <row r="15" spans="1:19" ht="15.75" x14ac:dyDescent="0.25">
      <c r="A15">
        <f t="shared" si="0"/>
        <v>0</v>
      </c>
      <c r="B15" s="34">
        <v>5</v>
      </c>
      <c r="C15" s="23" t="s">
        <v>38</v>
      </c>
      <c r="D15" s="22" t="s">
        <v>43</v>
      </c>
      <c r="E15" s="22" t="s">
        <v>47</v>
      </c>
      <c r="F15" s="20">
        <v>360</v>
      </c>
      <c r="G15" s="20">
        <v>262.91834709</v>
      </c>
      <c r="H15" s="20">
        <v>0</v>
      </c>
      <c r="I15" s="30">
        <f t="shared" si="1"/>
        <v>262.91834709</v>
      </c>
      <c r="J15" s="21">
        <v>46478</v>
      </c>
      <c r="K15" s="20">
        <v>197320.25750830999</v>
      </c>
      <c r="L15" s="28">
        <f t="shared" si="2"/>
        <v>0.13324447799229502</v>
      </c>
      <c r="M15" s="19" t="s">
        <v>22</v>
      </c>
      <c r="N15" s="19"/>
      <c r="O15" s="35">
        <v>0</v>
      </c>
      <c r="P15" s="13" t="str">
        <f>IF(R15&lt;&gt;0,R15&amp;COUNTIF($R$11:R15,R15),0)</f>
        <v>0.131</v>
      </c>
      <c r="Q15" s="14" t="s">
        <v>23</v>
      </c>
      <c r="R15" s="14" t="str">
        <f t="shared" si="3"/>
        <v>0.13</v>
      </c>
      <c r="S15" s="13">
        <f t="shared" si="4"/>
        <v>0</v>
      </c>
    </row>
    <row r="16" spans="1:19" ht="15.75" x14ac:dyDescent="0.25">
      <c r="A16">
        <f t="shared" si="0"/>
        <v>0</v>
      </c>
      <c r="B16" s="34">
        <v>6</v>
      </c>
      <c r="C16" s="23" t="s">
        <v>38</v>
      </c>
      <c r="D16" s="22" t="s">
        <v>44</v>
      </c>
      <c r="E16" s="22" t="s">
        <v>45</v>
      </c>
      <c r="F16" s="20">
        <v>1.2785225500000001</v>
      </c>
      <c r="G16" s="20">
        <v>0</v>
      </c>
      <c r="H16" s="20">
        <v>0.25570451</v>
      </c>
      <c r="I16" s="30">
        <f t="shared" si="1"/>
        <v>0.25570451</v>
      </c>
      <c r="J16" s="66">
        <v>46386</v>
      </c>
      <c r="K16" s="20">
        <v>197320.25750830999</v>
      </c>
      <c r="L16" s="28">
        <f t="shared" si="2"/>
        <v>1.2958857505506306E-4</v>
      </c>
      <c r="M16" s="19" t="s">
        <v>22</v>
      </c>
      <c r="N16" s="19"/>
      <c r="O16" s="35">
        <v>0</v>
      </c>
      <c r="P16" s="13" t="str">
        <f>IF(R16&lt;&gt;0,R16&amp;COUNTIF($R$11:R16,R16),0)</f>
        <v>0.001</v>
      </c>
      <c r="R16" s="14" t="str">
        <f t="shared" si="3"/>
        <v>0.00</v>
      </c>
      <c r="S16" s="13">
        <f t="shared" si="4"/>
        <v>0</v>
      </c>
    </row>
    <row r="17" spans="1:19" ht="15.75" x14ac:dyDescent="0.25">
      <c r="A17">
        <f t="shared" si="0"/>
        <v>0</v>
      </c>
      <c r="B17" s="34">
        <v>7</v>
      </c>
      <c r="C17" s="48" t="s">
        <v>40</v>
      </c>
      <c r="D17" s="22" t="s">
        <v>43</v>
      </c>
      <c r="E17" s="22" t="s">
        <v>47</v>
      </c>
      <c r="F17" s="20">
        <v>1750</v>
      </c>
      <c r="G17" s="20">
        <v>1641.78307096</v>
      </c>
      <c r="H17" s="20">
        <v>10.821692903999997</v>
      </c>
      <c r="I17" s="30">
        <f t="shared" si="1"/>
        <v>1652.604763864</v>
      </c>
      <c r="J17" s="21">
        <v>46304</v>
      </c>
      <c r="K17" s="20">
        <v>197320.25750830999</v>
      </c>
      <c r="L17" s="28">
        <f t="shared" si="2"/>
        <v>0.83752412688514843</v>
      </c>
      <c r="M17" s="19" t="s">
        <v>22</v>
      </c>
      <c r="N17" s="19"/>
      <c r="O17" s="35">
        <v>0</v>
      </c>
      <c r="P17" s="13" t="str">
        <f>IF(R17&lt;&gt;0,R17&amp;COUNTIF($R$11:R17,R17),0)</f>
        <v>0.831</v>
      </c>
      <c r="R17" s="14" t="str">
        <f t="shared" si="3"/>
        <v>0.83</v>
      </c>
      <c r="S17" s="13">
        <f t="shared" si="4"/>
        <v>0</v>
      </c>
    </row>
    <row r="18" spans="1:19" ht="15.75" x14ac:dyDescent="0.25">
      <c r="A18">
        <f t="shared" si="0"/>
        <v>0</v>
      </c>
      <c r="B18" s="34">
        <v>8</v>
      </c>
      <c r="C18" s="48" t="s">
        <v>41</v>
      </c>
      <c r="D18" s="22" t="s">
        <v>43</v>
      </c>
      <c r="E18" t="s">
        <v>48</v>
      </c>
      <c r="F18" s="20">
        <v>463</v>
      </c>
      <c r="G18" s="20">
        <v>441.76099386999999</v>
      </c>
      <c r="H18" s="20">
        <v>2.1239006129999995</v>
      </c>
      <c r="I18" s="30">
        <f t="shared" si="1"/>
        <v>443.88489448299998</v>
      </c>
      <c r="J18" s="21">
        <v>46351</v>
      </c>
      <c r="K18" s="20">
        <v>197320.25750830999</v>
      </c>
      <c r="L18" s="28">
        <f t="shared" si="2"/>
        <v>0.22495657571514477</v>
      </c>
      <c r="M18" s="19" t="s">
        <v>22</v>
      </c>
      <c r="N18" s="19"/>
      <c r="O18" s="35">
        <v>0</v>
      </c>
      <c r="P18" s="13" t="str">
        <f>IF(R18&lt;&gt;0,R18&amp;COUNTIF($R$11:R18,R18),0)</f>
        <v>0.221</v>
      </c>
      <c r="R18" s="14" t="str">
        <f t="shared" si="3"/>
        <v>0.22</v>
      </c>
      <c r="S18" s="13">
        <f t="shared" si="4"/>
        <v>0</v>
      </c>
    </row>
    <row r="19" spans="1:19" ht="15.75" thickBot="1" x14ac:dyDescent="0.3">
      <c r="B19" s="36"/>
      <c r="C19" s="43" t="s">
        <v>18</v>
      </c>
      <c r="D19" s="37"/>
      <c r="E19" s="37"/>
      <c r="F19" s="38">
        <f>+SUM(F11:F18)</f>
        <v>23776.267265550003</v>
      </c>
      <c r="G19" s="49">
        <f>+SUM(G11:G18)</f>
        <v>21220.804002320001</v>
      </c>
      <c r="H19" s="49">
        <f>+SUM(H11:H18)</f>
        <v>891.65855667800008</v>
      </c>
      <c r="I19" s="50">
        <f>G19+H19</f>
        <v>22112.462558998002</v>
      </c>
      <c r="J19" s="39"/>
      <c r="K19" s="50">
        <v>197320.25750830999</v>
      </c>
      <c r="L19" s="40">
        <f t="shared" ref="L19" si="5">IF(K19=0,0,I19/K19*100)</f>
        <v>11.206382374636194</v>
      </c>
      <c r="M19" s="39"/>
      <c r="N19" s="39"/>
      <c r="O19" s="41">
        <f>SUM(O11:O18)</f>
        <v>0</v>
      </c>
    </row>
    <row r="23" spans="1:19" x14ac:dyDescent="0.25">
      <c r="B23" s="7" t="s">
        <v>19</v>
      </c>
      <c r="C23" s="7"/>
    </row>
    <row r="24" spans="1:19" x14ac:dyDescent="0.25">
      <c r="B24" s="8" t="s">
        <v>20</v>
      </c>
      <c r="C24" s="8"/>
    </row>
    <row r="26" spans="1:19" ht="78.75" hidden="1" x14ac:dyDescent="0.25">
      <c r="C26" s="31"/>
      <c r="D26" s="24" t="s">
        <v>33</v>
      </c>
      <c r="E26" s="17" t="s">
        <v>7</v>
      </c>
      <c r="F26" s="17" t="s">
        <v>31</v>
      </c>
      <c r="G26" s="17" t="s">
        <v>24</v>
      </c>
      <c r="H26" s="17" t="s">
        <v>25</v>
      </c>
      <c r="I26" s="18" t="s">
        <v>26</v>
      </c>
    </row>
    <row r="27" spans="1:19" ht="15.75" hidden="1" x14ac:dyDescent="0.25">
      <c r="C27" s="32">
        <v>1</v>
      </c>
      <c r="D27" s="9" t="str">
        <f>IF(J27="","", VLOOKUP(J27,$A$11:$S$18,3,FALSE))</f>
        <v/>
      </c>
      <c r="E27" s="9" t="str">
        <f>IF(J27="","", VLOOKUP(J27,$A$11:$S$18,5,FALSE))</f>
        <v/>
      </c>
      <c r="F27" s="10" t="str">
        <f>IF(J27="","", VLOOKUP(J27,$A$11:$S$18,9,FALSE))</f>
        <v/>
      </c>
      <c r="G27" s="10" t="str">
        <f>IF(J27="","", VLOOKUP(J27,$A$11:$S$18,11,FALSE))</f>
        <v/>
      </c>
      <c r="H27" s="11" t="str">
        <f>IF(J27="","", VLOOKUP(J27,$A$11:$S$18,13,FALSE))</f>
        <v/>
      </c>
      <c r="I27" s="12" t="str">
        <f>IF(LARGE($L$11:$L$18,C27)&gt;15,LARGE($L$11:$L$18,C27),"")</f>
        <v/>
      </c>
      <c r="J27" s="15" t="str">
        <f>IF(LARGE($S$11:$S$18,C27)&gt;15,LARGE($S$11:$S$18,C27),"")</f>
        <v/>
      </c>
    </row>
  </sheetData>
  <mergeCells count="11">
    <mergeCell ref="N9:O9"/>
    <mergeCell ref="A4:N4"/>
    <mergeCell ref="B9:B10"/>
    <mergeCell ref="C9:C10"/>
    <mergeCell ref="D9:D10"/>
    <mergeCell ref="E9:E10"/>
    <mergeCell ref="F9:F10"/>
    <mergeCell ref="J9:J10"/>
    <mergeCell ref="K9:K10"/>
    <mergeCell ref="L9:L10"/>
    <mergeCell ref="M9:M10"/>
  </mergeCells>
  <dataValidations count="1">
    <dataValidation type="list" allowBlank="1" showInputMessage="1" showErrorMessage="1" sqref="M11:M18">
      <formula1>$Q$11:$Q$15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Single Borrower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Admin-PC</dc:creator>
  <cp:lastModifiedBy>Endashaw Habte Tsige</cp:lastModifiedBy>
  <dcterms:created xsi:type="dcterms:W3CDTF">2026-08-04T09:22:27Z</dcterms:created>
  <dcterms:modified xsi:type="dcterms:W3CDTF">2026-09-08T08:25:09Z</dcterms:modified>
</cp:coreProperties>
</file>