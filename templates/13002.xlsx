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ILE\Documents\FY 2026-27\August, 2026\"/>
    </mc:Choice>
  </mc:AlternateContent>
  <bookViews>
    <workbookView xWindow="0" yWindow="0" windowWidth="28800" windowHeight="12315"/>
  </bookViews>
  <sheets>
    <sheet name="Related Party" sheetId="2" r:id="rId1"/>
  </sheets>
  <calcPr calcId="152511"/>
</workbook>
</file>

<file path=xl/calcChain.xml><?xml version="1.0" encoding="utf-8"?>
<calcChain xmlns="http://schemas.openxmlformats.org/spreadsheetml/2006/main">
  <c r="P53" i="2" l="1"/>
  <c r="G53" i="2" l="1"/>
  <c r="I53" i="2"/>
  <c r="H53" i="2" l="1"/>
  <c r="J53" i="2" s="1"/>
  <c r="M53" i="2" s="1"/>
  <c r="J52" i="2"/>
  <c r="M52" i="2" s="1"/>
  <c r="S52" i="2" s="1"/>
  <c r="J51" i="2"/>
  <c r="M51" i="2" s="1"/>
  <c r="S51" i="2" s="1"/>
  <c r="J50" i="2"/>
  <c r="M50" i="2" s="1"/>
  <c r="S50" i="2" s="1"/>
  <c r="J49" i="2"/>
  <c r="M49" i="2" s="1"/>
  <c r="S49" i="2" s="1"/>
  <c r="J48" i="2"/>
  <c r="M48" i="2" s="1"/>
  <c r="S48" i="2" s="1"/>
  <c r="J47" i="2"/>
  <c r="M47" i="2" s="1"/>
  <c r="S47" i="2" s="1"/>
  <c r="J46" i="2"/>
  <c r="M46" i="2" s="1"/>
  <c r="S46" i="2" s="1"/>
  <c r="J45" i="2"/>
  <c r="M45" i="2" s="1"/>
  <c r="S45" i="2" s="1"/>
  <c r="J44" i="2"/>
  <c r="M44" i="2" s="1"/>
  <c r="S44" i="2" s="1"/>
  <c r="J43" i="2"/>
  <c r="M43" i="2" s="1"/>
  <c r="S43" i="2" s="1"/>
  <c r="J42" i="2"/>
  <c r="M42" i="2" s="1"/>
  <c r="S42" i="2" s="1"/>
  <c r="J41" i="2"/>
  <c r="M41" i="2" s="1"/>
  <c r="S41" i="2" s="1"/>
  <c r="J40" i="2"/>
  <c r="M40" i="2" s="1"/>
  <c r="S40" i="2" s="1"/>
  <c r="J39" i="2"/>
  <c r="M39" i="2" s="1"/>
  <c r="S39" i="2" s="1"/>
  <c r="J38" i="2"/>
  <c r="M38" i="2" s="1"/>
  <c r="S38" i="2" s="1"/>
  <c r="J37" i="2"/>
  <c r="M37" i="2" s="1"/>
  <c r="S37" i="2" s="1"/>
  <c r="J36" i="2"/>
  <c r="M36" i="2" s="1"/>
  <c r="S36" i="2" s="1"/>
  <c r="J35" i="2"/>
  <c r="M35" i="2" s="1"/>
  <c r="S35" i="2" s="1"/>
  <c r="J34" i="2"/>
  <c r="M34" i="2" s="1"/>
  <c r="S34" i="2" s="1"/>
  <c r="J33" i="2"/>
  <c r="M33" i="2" s="1"/>
  <c r="S33" i="2" s="1"/>
  <c r="J32" i="2"/>
  <c r="M32" i="2" s="1"/>
  <c r="S32" i="2" s="1"/>
  <c r="J31" i="2"/>
  <c r="M31" i="2" s="1"/>
  <c r="S31" i="2" s="1"/>
  <c r="J30" i="2"/>
  <c r="M30" i="2" s="1"/>
  <c r="S30" i="2" s="1"/>
  <c r="J29" i="2"/>
  <c r="M29" i="2" s="1"/>
  <c r="S29" i="2" s="1"/>
  <c r="J28" i="2"/>
  <c r="M28" i="2" s="1"/>
  <c r="S28" i="2" s="1"/>
  <c r="J27" i="2"/>
  <c r="M27" i="2" s="1"/>
  <c r="S27" i="2" s="1"/>
  <c r="J26" i="2"/>
  <c r="M26" i="2" s="1"/>
  <c r="S26" i="2" s="1"/>
  <c r="J25" i="2"/>
  <c r="M25" i="2" s="1"/>
  <c r="S25" i="2" s="1"/>
  <c r="J24" i="2"/>
  <c r="M24" i="2" s="1"/>
  <c r="S24" i="2" s="1"/>
  <c r="J23" i="2"/>
  <c r="M23" i="2" s="1"/>
  <c r="S23" i="2" s="1"/>
  <c r="J22" i="2"/>
  <c r="M22" i="2" s="1"/>
  <c r="S22" i="2" s="1"/>
  <c r="J21" i="2"/>
  <c r="M21" i="2" s="1"/>
  <c r="S21" i="2" s="1"/>
  <c r="J20" i="2"/>
  <c r="M20" i="2" s="1"/>
  <c r="S20" i="2" s="1"/>
  <c r="J19" i="2"/>
  <c r="M19" i="2" s="1"/>
  <c r="S19" i="2" s="1"/>
  <c r="J18" i="2"/>
  <c r="M18" i="2" s="1"/>
  <c r="S18" i="2" s="1"/>
  <c r="J17" i="2"/>
  <c r="M17" i="2" s="1"/>
  <c r="S17" i="2" s="1"/>
  <c r="J16" i="2"/>
  <c r="M16" i="2" s="1"/>
  <c r="S16" i="2" s="1"/>
  <c r="J15" i="2"/>
  <c r="M15" i="2" s="1"/>
  <c r="S15" i="2" s="1"/>
  <c r="J14" i="2"/>
  <c r="M14" i="2" s="1"/>
  <c r="S14" i="2" s="1"/>
  <c r="J13" i="2"/>
  <c r="M13" i="2" s="1"/>
  <c r="S13" i="2" s="1"/>
  <c r="J12" i="2"/>
  <c r="M12" i="2" s="1"/>
  <c r="S12" i="2" s="1"/>
  <c r="J11" i="2"/>
  <c r="M11" i="2" s="1"/>
  <c r="S11" i="2" l="1"/>
  <c r="Q50" i="2" s="1"/>
  <c r="T50" i="2" s="1"/>
  <c r="A50" i="2" s="1"/>
  <c r="Q44" i="2" l="1"/>
  <c r="T44" i="2" s="1"/>
  <c r="A44" i="2" s="1"/>
  <c r="Q18" i="2"/>
  <c r="T18" i="2" s="1"/>
  <c r="A18" i="2" s="1"/>
  <c r="Q30" i="2"/>
  <c r="T30" i="2" s="1"/>
  <c r="A30" i="2" s="1"/>
  <c r="Q29" i="2"/>
  <c r="T29" i="2" s="1"/>
  <c r="A29" i="2" s="1"/>
  <c r="Q32" i="2"/>
  <c r="T32" i="2" s="1"/>
  <c r="A32" i="2" s="1"/>
  <c r="Q48" i="2"/>
  <c r="T48" i="2" s="1"/>
  <c r="A48" i="2" s="1"/>
  <c r="Q19" i="2"/>
  <c r="T19" i="2" s="1"/>
  <c r="A19" i="2" s="1"/>
  <c r="Q15" i="2"/>
  <c r="T15" i="2" s="1"/>
  <c r="A15" i="2" s="1"/>
  <c r="Q40" i="2"/>
  <c r="T40" i="2" s="1"/>
  <c r="A40" i="2" s="1"/>
  <c r="Q39" i="2"/>
  <c r="T39" i="2" s="1"/>
  <c r="A39" i="2" s="1"/>
  <c r="Q34" i="2"/>
  <c r="T34" i="2" s="1"/>
  <c r="A34" i="2" s="1"/>
  <c r="Q31" i="2"/>
  <c r="T31" i="2" s="1"/>
  <c r="A31" i="2" s="1"/>
  <c r="Q13" i="2"/>
  <c r="T13" i="2" s="1"/>
  <c r="A13" i="2" s="1"/>
  <c r="Q25" i="2"/>
  <c r="T25" i="2" s="1"/>
  <c r="A25" i="2" s="1"/>
  <c r="Q47" i="2"/>
  <c r="T47" i="2" s="1"/>
  <c r="A47" i="2" s="1"/>
  <c r="Q23" i="2"/>
  <c r="T23" i="2" s="1"/>
  <c r="A23" i="2" s="1"/>
  <c r="Q45" i="2"/>
  <c r="T45" i="2" s="1"/>
  <c r="A45" i="2" s="1"/>
  <c r="Q41" i="2"/>
  <c r="T41" i="2" s="1"/>
  <c r="A41" i="2" s="1"/>
  <c r="Q12" i="2"/>
  <c r="T12" i="2" s="1"/>
  <c r="A12" i="2" s="1"/>
  <c r="Q38" i="2"/>
  <c r="T38" i="2" s="1"/>
  <c r="A38" i="2" s="1"/>
  <c r="Q26" i="2"/>
  <c r="T26" i="2" s="1"/>
  <c r="A26" i="2" s="1"/>
  <c r="Q14" i="2"/>
  <c r="T14" i="2" s="1"/>
  <c r="A14" i="2" s="1"/>
  <c r="Q28" i="2"/>
  <c r="T28" i="2" s="1"/>
  <c r="A28" i="2" s="1"/>
  <c r="Q52" i="2"/>
  <c r="T52" i="2" s="1"/>
  <c r="A52" i="2" s="1"/>
  <c r="Q11" i="2"/>
  <c r="T11" i="2" s="1"/>
  <c r="Q17" i="2"/>
  <c r="T17" i="2" s="1"/>
  <c r="A17" i="2" s="1"/>
  <c r="Q21" i="2"/>
  <c r="T21" i="2" s="1"/>
  <c r="A21" i="2" s="1"/>
  <c r="Q43" i="2"/>
  <c r="T43" i="2" s="1"/>
  <c r="A43" i="2" s="1"/>
  <c r="Q16" i="2"/>
  <c r="T16" i="2" s="1"/>
  <c r="A16" i="2" s="1"/>
  <c r="Q42" i="2"/>
  <c r="T42" i="2" s="1"/>
  <c r="A42" i="2" s="1"/>
  <c r="Q51" i="2"/>
  <c r="T51" i="2" s="1"/>
  <c r="A51" i="2" s="1"/>
  <c r="Q36" i="2"/>
  <c r="T36" i="2" s="1"/>
  <c r="A36" i="2" s="1"/>
  <c r="Q49" i="2"/>
  <c r="T49" i="2" s="1"/>
  <c r="A49" i="2" s="1"/>
  <c r="Q33" i="2"/>
  <c r="T33" i="2" s="1"/>
  <c r="A33" i="2" s="1"/>
  <c r="Q37" i="2"/>
  <c r="T37" i="2" s="1"/>
  <c r="A37" i="2" s="1"/>
  <c r="Q35" i="2"/>
  <c r="T35" i="2" s="1"/>
  <c r="A35" i="2" s="1"/>
  <c r="Q20" i="2"/>
  <c r="T20" i="2" s="1"/>
  <c r="A20" i="2" s="1"/>
  <c r="Q46" i="2"/>
  <c r="T46" i="2" s="1"/>
  <c r="A46" i="2" s="1"/>
  <c r="Q27" i="2"/>
  <c r="T27" i="2" s="1"/>
  <c r="A27" i="2" s="1"/>
  <c r="Q22" i="2"/>
  <c r="T22" i="2" s="1"/>
  <c r="A22" i="2" s="1"/>
  <c r="Q24" i="2"/>
  <c r="T24" i="2" s="1"/>
  <c r="A24" i="2" s="1"/>
  <c r="A11" i="2" l="1"/>
</calcChain>
</file>

<file path=xl/sharedStrings.xml><?xml version="1.0" encoding="utf-8"?>
<sst xmlns="http://schemas.openxmlformats.org/spreadsheetml/2006/main" count="286" uniqueCount="118">
  <si>
    <t>Monthly Returns on Related Party Transactions List of Related Party Exposures</t>
  </si>
  <si>
    <t xml:space="preserve">Instiution Code </t>
  </si>
  <si>
    <t>Financial Year</t>
  </si>
  <si>
    <t>Start Date</t>
  </si>
  <si>
    <t>End Date</t>
  </si>
  <si>
    <t>(In millions of Birr)</t>
  </si>
  <si>
    <t>Name of Counterparty*</t>
  </si>
  <si>
    <t>Nature of Counterparty (e.g. influential shareholder, director, subsidiary ….)</t>
  </si>
  <si>
    <t>Type of Exposure</t>
  </si>
  <si>
    <t>Sector of Exposure</t>
  </si>
  <si>
    <t>Approved Limit/Facility</t>
  </si>
  <si>
    <t>Exposure Amount/ Outstanding Balance (on-balance sheet)</t>
  </si>
  <si>
    <t>Off-balance Sheet Exposure Amount (e.g. guarantee)</t>
  </si>
  <si>
    <t>Maturity Date</t>
  </si>
  <si>
    <t>Status (classification)</t>
  </si>
  <si>
    <t>Collateral</t>
  </si>
  <si>
    <t>A</t>
  </si>
  <si>
    <t>B</t>
  </si>
  <si>
    <t>Type</t>
  </si>
  <si>
    <t>Estimated
/Face value</t>
  </si>
  <si>
    <t>Total</t>
  </si>
  <si>
    <t>Note:</t>
  </si>
  <si>
    <t>*Classification shall be reported in line with relevant Asset Classification and Provisioning Directive of the National Bank</t>
  </si>
  <si>
    <t>Capital</t>
  </si>
  <si>
    <t>Pass</t>
  </si>
  <si>
    <t>Loss</t>
  </si>
  <si>
    <t>Special Mention</t>
  </si>
  <si>
    <t xml:space="preserve">Substandard </t>
  </si>
  <si>
    <t>Doubtful</t>
  </si>
  <si>
    <t>C=A+B</t>
  </si>
  <si>
    <t>Total Outstanding Balance</t>
  </si>
  <si>
    <t>S/N</t>
  </si>
  <si>
    <t>Exposure Amount (A+B) as Percent of Total Capital</t>
  </si>
  <si>
    <t>BSD_LOAN_PART13002</t>
  </si>
  <si>
    <t xml:space="preserve"> EEP Main Account </t>
  </si>
  <si>
    <t xml:space="preserve"> Federal Housing Corporation Ho </t>
  </si>
  <si>
    <t xml:space="preserve"> The Sugar Corporation </t>
  </si>
  <si>
    <t xml:space="preserve"> WonjiShoa Sugar Factory </t>
  </si>
  <si>
    <t>CN P L C</t>
  </si>
  <si>
    <t xml:space="preserve"> Ethiopian Industrial Inputs Dev't Ent. /EIIDE</t>
  </si>
  <si>
    <t xml:space="preserve"> Ethiopian Trading Business Corporation /ETBC</t>
  </si>
  <si>
    <t xml:space="preserve"> Ethiopian Airlines Group </t>
  </si>
  <si>
    <t xml:space="preserve"> National Alcohol &amp; Liquors Factory </t>
  </si>
  <si>
    <t xml:space="preserve"> Ethiopian Tourist Trading Enterpris </t>
  </si>
  <si>
    <t xml:space="preserve"> Ethio Telecom </t>
  </si>
  <si>
    <t xml:space="preserve"> C.I.C. Batu Caustic Soda Factory(Principal+Interest) </t>
  </si>
  <si>
    <t xml:space="preserve"> Chemical Industry Corporation -(Muger Cement Factory) </t>
  </si>
  <si>
    <t xml:space="preserve"> Chemical Industry Corporation- Adami Tulu Pesticide Processing Share Co. </t>
  </si>
  <si>
    <t xml:space="preserve"> Chemical Industry Corporation- Awash Melkasa Aluminium Sulphate S.C </t>
  </si>
  <si>
    <t xml:space="preserve"> EABC</t>
  </si>
  <si>
    <t xml:space="preserve"> Ethiopian Engineering Corporation </t>
  </si>
  <si>
    <t xml:space="preserve"> Educational Material Production And Distribution  </t>
  </si>
  <si>
    <t xml:space="preserve"> Ethiopian Pulp And Papers </t>
  </si>
  <si>
    <t xml:space="preserve"> Brana Printing Enterprise </t>
  </si>
  <si>
    <t xml:space="preserve"> Ghion Hotel </t>
  </si>
  <si>
    <t xml:space="preserve"> Finchaa Sugar Factory </t>
  </si>
  <si>
    <t xml:space="preserve"> Tana Beless Suger Factory </t>
  </si>
  <si>
    <t xml:space="preserve"> Be Sukuar Corporation Kesem Sekuar </t>
  </si>
  <si>
    <t xml:space="preserve"> Ethiopian Petroleum Supply Enterp. </t>
  </si>
  <si>
    <t xml:space="preserve"> Berhanena Selam Printing Enterpris; </t>
  </si>
  <si>
    <t xml:space="preserve">ECWC GEOSYNTHETICS INDUSTRIAL WORK </t>
  </si>
  <si>
    <t xml:space="preserve">B D A Holding Plc  </t>
  </si>
  <si>
    <t>Amare Assefa Herpie</t>
  </si>
  <si>
    <t>Ephrem Mekuria Tilahun</t>
  </si>
  <si>
    <t>FIKRESELASSIE ZEWDU MELESE</t>
  </si>
  <si>
    <t>DEREJE FUFA SEFI</t>
  </si>
  <si>
    <t>Dr. Meshesha Demie Jima</t>
  </si>
  <si>
    <t>NURI HUSSEIN INDHESSA</t>
  </si>
  <si>
    <t>MAKEDA OUMER ADEM</t>
  </si>
  <si>
    <t>FIREW GSELASSIE YIMAM</t>
  </si>
  <si>
    <t>Olani Sekata Duressa</t>
  </si>
  <si>
    <t>BEREKET FESEHATSION TMARIAM</t>
  </si>
  <si>
    <t>MOGES BALCHA G/ MEDIHIN</t>
  </si>
  <si>
    <t>Miss Tigist Hamid Mohammed</t>
  </si>
  <si>
    <t>AYNALEM NIGUSSE ALI</t>
  </si>
  <si>
    <t>Mr Wondimagegnehu Negera Geletta</t>
  </si>
  <si>
    <t>Board Members</t>
  </si>
  <si>
    <t>SOE</t>
  </si>
  <si>
    <t>Subsidiary</t>
  </si>
  <si>
    <t>Senior Executive Officer</t>
  </si>
  <si>
    <t>Consumer Loans</t>
  </si>
  <si>
    <t>Building &amp; Construction</t>
  </si>
  <si>
    <t>Manufacturing</t>
  </si>
  <si>
    <t>Import</t>
  </si>
  <si>
    <t>DTS</t>
  </si>
  <si>
    <t>TL, LC</t>
  </si>
  <si>
    <t>TL</t>
  </si>
  <si>
    <t>TL, OD, LG, LC</t>
  </si>
  <si>
    <t>TL, OD,</t>
  </si>
  <si>
    <t>TL, OD, LC</t>
  </si>
  <si>
    <t>AL, LC</t>
  </si>
  <si>
    <t>OD</t>
  </si>
  <si>
    <t>LC</t>
  </si>
  <si>
    <t>TL, OD</t>
  </si>
  <si>
    <t>MOFED</t>
  </si>
  <si>
    <t xml:space="preserve">MoF Guarantee </t>
  </si>
  <si>
    <t>Written undertaking by Gov't Organ</t>
  </si>
  <si>
    <t>Government Bond;Written undertaking by Gov't Organ</t>
  </si>
  <si>
    <t>Condominium</t>
  </si>
  <si>
    <t>Factory Building</t>
  </si>
  <si>
    <t>Apartment, Premises, Buildings &amp; Houses</t>
  </si>
  <si>
    <t>Commercial Building</t>
  </si>
  <si>
    <t>Premises, Buildings &amp; Houses</t>
  </si>
  <si>
    <t>Factory Building;Factory Machinery</t>
  </si>
  <si>
    <t>Factory Machinery;Premises, Buildings &amp; Houses</t>
  </si>
  <si>
    <t>Dry Cargo;Government Bond;Written undertaking by Gov't Organ</t>
  </si>
  <si>
    <t>Mixed Building</t>
  </si>
  <si>
    <t>Business Mortgage;Factory Building;Factory Machinery</t>
  </si>
  <si>
    <t>Business Mortgage;Factory Machinery;Premises, Buildings &amp; Houses</t>
  </si>
  <si>
    <t>Factory Machinery;Motor vehicles</t>
  </si>
  <si>
    <t>Building</t>
  </si>
  <si>
    <t>Apartment, Automobile;Residential Houses</t>
  </si>
  <si>
    <t>Residential Houses</t>
  </si>
  <si>
    <t>Automobile, Residential Houses</t>
  </si>
  <si>
    <t>Residential houses, Premises, Buildings &amp; Houses</t>
  </si>
  <si>
    <t>Automobile</t>
  </si>
  <si>
    <t>Motor vehicles</t>
  </si>
  <si>
    <t>Residential House and Automobile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</si>
</sst>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0"/>
      <color theme="1"/>
      <name val="Tahoma"/>
      <family val="2"/>
    </font>
    <font>
      <i/>
      <sz val="9"/>
      <color theme="1"/>
      <name val="Verdana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ahoma"/>
      <family val="2"/>
    </font>
    <font>
      <b/>
      <sz val="11"/>
      <color theme="1"/>
      <name val="Times New Roman"/>
      <family val="1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rgb="FFC00000"/>
      </top>
      <bottom/>
      <diagonal/>
    </border>
    <border>
      <left style="thin">
        <color indexed="64"/>
      </left>
      <right style="thin">
        <color indexed="64"/>
      </right>
      <top style="medium">
        <color rgb="FFC00000"/>
      </top>
      <bottom/>
      <diagonal/>
    </border>
    <border>
      <left style="thin">
        <color auto="1"/>
      </left>
      <right style="thin">
        <color auto="1"/>
      </right>
      <top style="medium">
        <color rgb="FFC00000"/>
      </top>
      <bottom style="thin">
        <color auto="1"/>
      </bottom>
      <diagonal/>
    </border>
    <border>
      <left style="thin">
        <color auto="1"/>
      </left>
      <right style="medium">
        <color rgb="FFC00000"/>
      </right>
      <top style="medium">
        <color rgb="FFC00000"/>
      </top>
      <bottom style="thin">
        <color auto="1"/>
      </bottom>
      <diagonal/>
    </border>
    <border>
      <left/>
      <right style="thin">
        <color auto="1"/>
      </right>
      <top/>
      <bottom style="medium">
        <color rgb="FFC00000"/>
      </bottom>
      <diagonal/>
    </border>
    <border>
      <left style="thin">
        <color indexed="64"/>
      </left>
      <right style="thin">
        <color indexed="64"/>
      </right>
      <top/>
      <bottom style="medium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auto="1"/>
      </left>
      <right style="medium">
        <color rgb="FFC00000"/>
      </right>
      <top style="thin">
        <color auto="1"/>
      </top>
      <bottom style="medium">
        <color rgb="FFC00000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9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4" borderId="0" xfId="0" applyFill="1" applyBorder="1"/>
    <xf numFmtId="0" fontId="3" fillId="4" borderId="0" xfId="0" applyFont="1" applyFill="1" applyAlignment="1">
      <alignment horizontal="center" vertical="center"/>
    </xf>
    <xf numFmtId="0" fontId="0" fillId="0" borderId="0" xfId="0" applyBorder="1"/>
    <xf numFmtId="0" fontId="0" fillId="0" borderId="1" xfId="0" applyBorder="1"/>
    <xf numFmtId="0" fontId="0" fillId="0" borderId="4" xfId="0" applyBorder="1"/>
    <xf numFmtId="0" fontId="4" fillId="0" borderId="0" xfId="0" applyFont="1" applyAlignment="1">
      <alignment vertical="center"/>
    </xf>
    <xf numFmtId="0" fontId="4" fillId="0" borderId="0" xfId="0" applyFont="1"/>
    <xf numFmtId="0" fontId="7" fillId="0" borderId="0" xfId="0" applyFont="1"/>
    <xf numFmtId="0" fontId="6" fillId="0" borderId="0" xfId="0" applyFont="1"/>
    <xf numFmtId="2" fontId="1" fillId="0" borderId="5" xfId="0" applyNumberFormat="1" applyFont="1" applyBorder="1" applyAlignment="1">
      <alignment horizontal="center"/>
    </xf>
    <xf numFmtId="0" fontId="0" fillId="3" borderId="6" xfId="0" applyFill="1" applyBorder="1"/>
    <xf numFmtId="0" fontId="9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/>
    </xf>
    <xf numFmtId="0" fontId="9" fillId="0" borderId="17" xfId="0" applyFont="1" applyBorder="1"/>
    <xf numFmtId="0" fontId="1" fillId="0" borderId="18" xfId="0" applyFont="1" applyBorder="1" applyAlignment="1">
      <alignment wrapText="1"/>
    </xf>
    <xf numFmtId="39" fontId="8" fillId="0" borderId="6" xfId="0" applyNumberFormat="1" applyFont="1" applyBorder="1" applyAlignment="1">
      <alignment horizontal="center" vertical="top" wrapText="1"/>
    </xf>
    <xf numFmtId="39" fontId="8" fillId="0" borderId="1" xfId="0" applyNumberFormat="1" applyFont="1" applyBorder="1" applyAlignment="1">
      <alignment horizontal="center" vertical="top" wrapText="1"/>
    </xf>
    <xf numFmtId="0" fontId="11" fillId="0" borderId="0" xfId="0" applyFont="1"/>
    <xf numFmtId="0" fontId="0" fillId="3" borderId="6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43" fontId="0" fillId="0" borderId="6" xfId="1" applyFont="1" applyBorder="1" applyProtection="1">
      <protection locked="0"/>
    </xf>
    <xf numFmtId="0" fontId="0" fillId="0" borderId="1" xfId="0" applyBorder="1" applyProtection="1">
      <protection locked="0"/>
    </xf>
    <xf numFmtId="43" fontId="0" fillId="0" borderId="1" xfId="1" applyFont="1" applyBorder="1" applyProtection="1">
      <protection locked="0"/>
    </xf>
    <xf numFmtId="14" fontId="0" fillId="0" borderId="6" xfId="0" applyNumberFormat="1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14" fontId="0" fillId="3" borderId="1" xfId="0" applyNumberFormat="1" applyFill="1" applyBorder="1" applyProtection="1">
      <protection locked="0"/>
    </xf>
    <xf numFmtId="0" fontId="0" fillId="0" borderId="19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left"/>
      <protection locked="0"/>
    </xf>
    <xf numFmtId="43" fontId="1" fillId="0" borderId="5" xfId="1" applyFont="1" applyBorder="1"/>
    <xf numFmtId="43" fontId="10" fillId="0" borderId="5" xfId="1" applyFont="1" applyBorder="1"/>
    <xf numFmtId="43" fontId="0" fillId="0" borderId="0" xfId="1" applyFont="1"/>
    <xf numFmtId="43" fontId="0" fillId="0" borderId="3" xfId="1" applyFont="1" applyBorder="1"/>
    <xf numFmtId="43" fontId="9" fillId="0" borderId="13" xfId="1" applyFont="1" applyBorder="1" applyAlignment="1">
      <alignment horizontal="center" vertical="center" wrapText="1"/>
    </xf>
    <xf numFmtId="43" fontId="9" fillId="0" borderId="17" xfId="1" applyFont="1" applyBorder="1" applyAlignment="1">
      <alignment horizontal="center"/>
    </xf>
    <xf numFmtId="43" fontId="10" fillId="0" borderId="6" xfId="1" applyFont="1" applyBorder="1"/>
    <xf numFmtId="43" fontId="10" fillId="0" borderId="1" xfId="1" applyFont="1" applyBorder="1"/>
    <xf numFmtId="14" fontId="0" fillId="0" borderId="1" xfId="0" applyNumberFormat="1" applyBorder="1" applyProtection="1">
      <protection locked="0"/>
    </xf>
    <xf numFmtId="43" fontId="0" fillId="0" borderId="0" xfId="0" applyNumberFormat="1"/>
    <xf numFmtId="0" fontId="0" fillId="5" borderId="6" xfId="0" applyFill="1" applyBorder="1" applyProtection="1">
      <protection locked="0"/>
    </xf>
    <xf numFmtId="3" fontId="0" fillId="0" borderId="0" xfId="0" applyNumberFormat="1"/>
    <xf numFmtId="43" fontId="1" fillId="0" borderId="5" xfId="1" applyFont="1" applyBorder="1" applyProtection="1">
      <protection locked="0"/>
    </xf>
    <xf numFmtId="0" fontId="1" fillId="0" borderId="1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9"/>
  <sheetViews>
    <sheetView tabSelected="1" topLeftCell="D1" workbookViewId="0">
      <selection activeCell="P53" sqref="P53"/>
    </sheetView>
  </sheetViews>
  <sheetFormatPr defaultRowHeight="15" x14ac:dyDescent="0.25"/>
  <cols>
    <col min="1" max="1" width="15.42578125" hidden="1" customWidth="1"/>
    <col min="2" max="2" width="14.28515625" customWidth="1"/>
    <col min="3" max="3" width="66.7109375" customWidth="1"/>
    <col min="4" max="4" width="22.7109375" bestFit="1" customWidth="1"/>
    <col min="5" max="5" width="28.7109375" bestFit="1" customWidth="1"/>
    <col min="6" max="6" width="22.28515625" bestFit="1" customWidth="1"/>
    <col min="7" max="7" width="18.85546875" customWidth="1"/>
    <col min="8" max="8" width="20.42578125" customWidth="1"/>
    <col min="9" max="9" width="18.85546875" customWidth="1"/>
    <col min="10" max="10" width="13.28515625" style="35" customWidth="1"/>
    <col min="11" max="11" width="17.28515625" customWidth="1"/>
    <col min="12" max="12" width="14.85546875" customWidth="1"/>
    <col min="13" max="13" width="12" customWidth="1"/>
    <col min="14" max="14" width="9.85546875" customWidth="1"/>
    <col min="15" max="15" width="11.5703125" customWidth="1"/>
    <col min="16" max="16" width="13.140625" customWidth="1"/>
    <col min="17" max="17" width="16.5703125" hidden="1" customWidth="1"/>
    <col min="18" max="18" width="16.85546875" hidden="1" customWidth="1"/>
    <col min="19" max="19" width="7.7109375" hidden="1" customWidth="1"/>
    <col min="20" max="20" width="11" hidden="1" customWidth="1"/>
    <col min="22" max="22" width="13.28515625" bestFit="1" customWidth="1"/>
    <col min="23" max="24" width="10.140625" bestFit="1" customWidth="1"/>
  </cols>
  <sheetData>
    <row r="1" spans="1:22" x14ac:dyDescent="0.25">
      <c r="A1" s="20" t="s">
        <v>33</v>
      </c>
      <c r="B1" s="20"/>
      <c r="D1" s="20"/>
    </row>
    <row r="3" spans="1:22" ht="15.75" thickBot="1" x14ac:dyDescent="0.3"/>
    <row r="4" spans="1:22" ht="38.450000000000003" customHeight="1" thickBot="1" x14ac:dyDescent="0.4">
      <c r="A4" s="50" t="s">
        <v>0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2"/>
    </row>
    <row r="5" spans="1:22" x14ac:dyDescent="0.25">
      <c r="B5" s="13" t="s">
        <v>1</v>
      </c>
      <c r="C5" s="21">
        <v>1</v>
      </c>
    </row>
    <row r="6" spans="1:22" x14ac:dyDescent="0.25">
      <c r="B6" s="1" t="s">
        <v>2</v>
      </c>
      <c r="C6" s="22">
        <v>2026</v>
      </c>
    </row>
    <row r="7" spans="1:22" x14ac:dyDescent="0.25">
      <c r="B7" s="1" t="s">
        <v>3</v>
      </c>
      <c r="C7" s="30">
        <v>46235</v>
      </c>
    </row>
    <row r="8" spans="1:22" ht="15.75" thickBot="1" x14ac:dyDescent="0.3">
      <c r="B8" s="2" t="s">
        <v>4</v>
      </c>
      <c r="C8" s="30">
        <v>46265</v>
      </c>
      <c r="J8" s="36"/>
      <c r="K8" s="5"/>
      <c r="L8" s="3"/>
      <c r="M8" s="4" t="s">
        <v>5</v>
      </c>
      <c r="N8" s="3"/>
      <c r="O8" s="5"/>
    </row>
    <row r="9" spans="1:22" ht="38.25" x14ac:dyDescent="0.25">
      <c r="B9" s="53" t="s">
        <v>31</v>
      </c>
      <c r="C9" s="53" t="s">
        <v>6</v>
      </c>
      <c r="D9" s="55" t="s">
        <v>7</v>
      </c>
      <c r="E9" s="46" t="s">
        <v>8</v>
      </c>
      <c r="F9" s="55" t="s">
        <v>9</v>
      </c>
      <c r="G9" s="55" t="s">
        <v>10</v>
      </c>
      <c r="H9" s="14" t="s">
        <v>11</v>
      </c>
      <c r="I9" s="14" t="s">
        <v>12</v>
      </c>
      <c r="J9" s="37" t="s">
        <v>30</v>
      </c>
      <c r="K9" s="57" t="s">
        <v>13</v>
      </c>
      <c r="L9" s="46" t="s">
        <v>23</v>
      </c>
      <c r="M9" s="46" t="s">
        <v>32</v>
      </c>
      <c r="N9" s="46" t="s">
        <v>14</v>
      </c>
      <c r="O9" s="48" t="s">
        <v>15</v>
      </c>
      <c r="P9" s="49"/>
    </row>
    <row r="10" spans="1:22" ht="30.75" thickBot="1" x14ac:dyDescent="0.3">
      <c r="B10" s="54"/>
      <c r="C10" s="54"/>
      <c r="D10" s="56"/>
      <c r="E10" s="47"/>
      <c r="F10" s="56"/>
      <c r="G10" s="56"/>
      <c r="H10" s="15" t="s">
        <v>16</v>
      </c>
      <c r="I10" s="15" t="s">
        <v>17</v>
      </c>
      <c r="J10" s="38" t="s">
        <v>29</v>
      </c>
      <c r="K10" s="58"/>
      <c r="L10" s="47"/>
      <c r="M10" s="47"/>
      <c r="N10" s="47"/>
      <c r="O10" s="16" t="s">
        <v>18</v>
      </c>
      <c r="P10" s="17" t="s">
        <v>19</v>
      </c>
    </row>
    <row r="11" spans="1:22" ht="15.75" x14ac:dyDescent="0.25">
      <c r="A11">
        <f>T11</f>
        <v>41.21</v>
      </c>
      <c r="B11" s="6">
        <v>1</v>
      </c>
      <c r="C11" s="31" t="s">
        <v>34</v>
      </c>
      <c r="D11" s="23" t="s">
        <v>77</v>
      </c>
      <c r="E11" s="23" t="s">
        <v>85</v>
      </c>
      <c r="F11" s="23" t="s">
        <v>82</v>
      </c>
      <c r="G11" s="24">
        <v>81515.985977939999</v>
      </c>
      <c r="H11" s="24">
        <v>75874.960731619998</v>
      </c>
      <c r="I11" s="24">
        <v>5483.2555647380004</v>
      </c>
      <c r="J11" s="39">
        <f>H11+I11</f>
        <v>81358.216296358005</v>
      </c>
      <c r="K11" s="27">
        <v>49459</v>
      </c>
      <c r="L11" s="24">
        <v>197320.25750830999</v>
      </c>
      <c r="M11" s="18">
        <f>IF(L11=0,0,J11/L11*100)</f>
        <v>41.231557937193379</v>
      </c>
      <c r="N11" s="29" t="s">
        <v>24</v>
      </c>
      <c r="O11" s="29" t="s">
        <v>95</v>
      </c>
      <c r="P11" s="24">
        <v>81536.695382929989</v>
      </c>
      <c r="Q11" s="10" t="str">
        <f>IF(S11&lt;&gt;0,S11&amp;COUNTIF($S$11:S11,S11),0)</f>
        <v>41.21</v>
      </c>
      <c r="R11" s="11" t="s">
        <v>24</v>
      </c>
      <c r="S11" s="10" t="str">
        <f>LEFT(M11,4)</f>
        <v>41.2</v>
      </c>
      <c r="T11" s="10">
        <f>IF(LEFT(Q11,1)="0",0,VALUE(Q11))</f>
        <v>41.21</v>
      </c>
      <c r="V11" s="42"/>
    </row>
    <row r="12" spans="1:22" ht="15.75" x14ac:dyDescent="0.25">
      <c r="A12">
        <f t="shared" ref="A12:A52" si="0">T12</f>
        <v>1.911</v>
      </c>
      <c r="B12" s="6">
        <v>2</v>
      </c>
      <c r="C12" s="31" t="s">
        <v>35</v>
      </c>
      <c r="D12" s="23" t="s">
        <v>77</v>
      </c>
      <c r="E12" s="23" t="s">
        <v>87</v>
      </c>
      <c r="F12" s="23" t="s">
        <v>81</v>
      </c>
      <c r="G12" s="24">
        <v>3970.5857006300002</v>
      </c>
      <c r="H12" s="24">
        <v>3197.6343341099996</v>
      </c>
      <c r="I12" s="24">
        <v>587.3566776089998</v>
      </c>
      <c r="J12" s="40">
        <f t="shared" ref="J12:J52" si="1">H12+I12</f>
        <v>3784.9910117189993</v>
      </c>
      <c r="K12" s="27">
        <v>50378</v>
      </c>
      <c r="L12" s="24">
        <v>197320.25750830999</v>
      </c>
      <c r="M12" s="19">
        <f t="shared" ref="M12:M52" si="2">IF(L12=0,0,J12/L12*100)</f>
        <v>1.9181968742158151</v>
      </c>
      <c r="N12" s="29" t="s">
        <v>24</v>
      </c>
      <c r="O12" s="29" t="s">
        <v>96</v>
      </c>
      <c r="P12" s="24">
        <v>3336.8627000000001</v>
      </c>
      <c r="Q12" s="10" t="str">
        <f>IF(S12&lt;&gt;0,S12&amp;COUNTIF($S$11:S12,S12),0)</f>
        <v>1.911</v>
      </c>
      <c r="R12" s="11" t="s">
        <v>26</v>
      </c>
      <c r="S12" s="11" t="str">
        <f t="shared" ref="S12:S52" si="3">LEFT(M12,4)</f>
        <v>1.91</v>
      </c>
      <c r="T12" s="10">
        <f>IF(LEFT(Q12,1)="0",0,VALUE(Q12))</f>
        <v>1.911</v>
      </c>
    </row>
    <row r="13" spans="1:22" ht="15.75" x14ac:dyDescent="0.25">
      <c r="A13">
        <f t="shared" si="0"/>
        <v>3.7109999999999999</v>
      </c>
      <c r="B13" s="6">
        <v>3</v>
      </c>
      <c r="C13" s="31" t="s">
        <v>36</v>
      </c>
      <c r="D13" s="23" t="s">
        <v>77</v>
      </c>
      <c r="E13" s="23" t="s">
        <v>86</v>
      </c>
      <c r="F13" s="23" t="s">
        <v>82</v>
      </c>
      <c r="G13" s="24">
        <v>19508.028041830003</v>
      </c>
      <c r="H13" s="24">
        <v>7183.0451725600005</v>
      </c>
      <c r="I13" s="24">
        <v>153.36734147999999</v>
      </c>
      <c r="J13" s="40">
        <f t="shared" si="1"/>
        <v>7336.4125140400001</v>
      </c>
      <c r="K13" s="27">
        <v>49624</v>
      </c>
      <c r="L13" s="24">
        <v>197320.25750830999</v>
      </c>
      <c r="M13" s="19">
        <f t="shared" si="2"/>
        <v>3.7180229778136349</v>
      </c>
      <c r="N13" s="29" t="s">
        <v>24</v>
      </c>
      <c r="O13" s="29" t="s">
        <v>97</v>
      </c>
      <c r="P13" s="24">
        <v>174249.432</v>
      </c>
      <c r="Q13" s="10" t="str">
        <f>IF(S13&lt;&gt;0,S13&amp;COUNTIF($S$11:S13,S13),0)</f>
        <v>3.711</v>
      </c>
      <c r="R13" s="11" t="s">
        <v>27</v>
      </c>
      <c r="S13" s="11" t="str">
        <f t="shared" si="3"/>
        <v>3.71</v>
      </c>
      <c r="T13" s="10">
        <f t="shared" ref="T13:T52" si="4">IF(LEFT(Q13,1)="0",0,VALUE(Q13))</f>
        <v>3.7109999999999999</v>
      </c>
    </row>
    <row r="14" spans="1:22" ht="15.75" x14ac:dyDescent="0.25">
      <c r="A14">
        <f t="shared" si="0"/>
        <v>0</v>
      </c>
      <c r="B14" s="6">
        <v>4</v>
      </c>
      <c r="C14" s="31" t="s">
        <v>37</v>
      </c>
      <c r="D14" s="23" t="s">
        <v>77</v>
      </c>
      <c r="E14" s="23" t="s">
        <v>85</v>
      </c>
      <c r="F14" s="23" t="s">
        <v>82</v>
      </c>
      <c r="G14" s="24">
        <v>1500.1679999999999</v>
      </c>
      <c r="H14" s="24">
        <v>39.326531119999999</v>
      </c>
      <c r="I14" s="24">
        <v>1.770363546</v>
      </c>
      <c r="J14" s="40">
        <f t="shared" si="1"/>
        <v>41.096894665999997</v>
      </c>
      <c r="K14" s="27">
        <v>46327</v>
      </c>
      <c r="L14" s="24">
        <v>197320.25750830999</v>
      </c>
      <c r="M14" s="19">
        <f t="shared" si="2"/>
        <v>2.0827509139181632E-2</v>
      </c>
      <c r="N14" s="29" t="s">
        <v>24</v>
      </c>
      <c r="O14" s="29" t="s">
        <v>103</v>
      </c>
      <c r="P14" s="24">
        <v>1500.1679999999999</v>
      </c>
      <c r="Q14" s="10" t="str">
        <f>IF(S14&lt;&gt;0,S14&amp;COUNTIF($S$11:S14,S14),0)</f>
        <v>0.021</v>
      </c>
      <c r="R14" s="11" t="s">
        <v>28</v>
      </c>
      <c r="S14" s="11" t="str">
        <f t="shared" si="3"/>
        <v>0.02</v>
      </c>
      <c r="T14" s="10">
        <f>IF(LEFT(Q14,1)="0",0,VALUE(Q14))</f>
        <v>0</v>
      </c>
    </row>
    <row r="15" spans="1:22" ht="15.75" x14ac:dyDescent="0.25">
      <c r="A15">
        <f t="shared" si="0"/>
        <v>0</v>
      </c>
      <c r="B15" s="6">
        <v>5</v>
      </c>
      <c r="C15" s="31" t="s">
        <v>38</v>
      </c>
      <c r="D15" s="23" t="s">
        <v>78</v>
      </c>
      <c r="E15" s="23" t="s">
        <v>86</v>
      </c>
      <c r="F15" s="23" t="s">
        <v>84</v>
      </c>
      <c r="G15" s="24">
        <v>250.97756050000001</v>
      </c>
      <c r="H15" s="24">
        <v>159.34951429</v>
      </c>
      <c r="I15" s="24">
        <v>0</v>
      </c>
      <c r="J15" s="40">
        <f t="shared" si="1"/>
        <v>159.34951429</v>
      </c>
      <c r="K15" s="27">
        <v>47536</v>
      </c>
      <c r="L15" s="24">
        <v>197320.25750830999</v>
      </c>
      <c r="M15" s="19">
        <f t="shared" si="2"/>
        <v>8.0756794209681751E-2</v>
      </c>
      <c r="N15" s="29" t="s">
        <v>24</v>
      </c>
      <c r="O15" s="29" t="s">
        <v>98</v>
      </c>
      <c r="P15" s="24">
        <v>409.75512099999997</v>
      </c>
      <c r="Q15" s="10" t="str">
        <f>IF(S15&lt;&gt;0,S15&amp;COUNTIF($S$11:S15,S15),0)</f>
        <v>0.081</v>
      </c>
      <c r="R15" s="11" t="s">
        <v>25</v>
      </c>
      <c r="S15" s="11" t="str">
        <f t="shared" si="3"/>
        <v>0.08</v>
      </c>
      <c r="T15" s="10">
        <f t="shared" si="4"/>
        <v>0</v>
      </c>
    </row>
    <row r="16" spans="1:22" ht="15.75" x14ac:dyDescent="0.25">
      <c r="A16">
        <f t="shared" si="0"/>
        <v>0</v>
      </c>
      <c r="B16" s="6">
        <v>6</v>
      </c>
      <c r="C16" s="31" t="s">
        <v>39</v>
      </c>
      <c r="D16" s="23" t="s">
        <v>77</v>
      </c>
      <c r="E16" s="23" t="s">
        <v>86</v>
      </c>
      <c r="F16" s="23" t="s">
        <v>82</v>
      </c>
      <c r="G16" s="24">
        <v>1706.39150696</v>
      </c>
      <c r="H16" s="24">
        <v>1007.72490069</v>
      </c>
      <c r="I16" s="24">
        <v>99.758777375999998</v>
      </c>
      <c r="J16" s="40">
        <f t="shared" si="1"/>
        <v>1107.483678066</v>
      </c>
      <c r="K16" s="27">
        <v>48708</v>
      </c>
      <c r="L16" s="24">
        <v>197320.25750830999</v>
      </c>
      <c r="M16" s="19">
        <f t="shared" si="2"/>
        <v>0.56126202755404331</v>
      </c>
      <c r="N16" s="29" t="s">
        <v>24</v>
      </c>
      <c r="O16" s="29" t="s">
        <v>99</v>
      </c>
      <c r="P16" s="24">
        <v>1224.8169409500001</v>
      </c>
      <c r="Q16" s="10" t="str">
        <f>IF(S16&lt;&gt;0,S16&amp;COUNTIF($S$11:S16,S16),0)</f>
        <v>0.561</v>
      </c>
      <c r="S16" s="11" t="str">
        <f t="shared" si="3"/>
        <v>0.56</v>
      </c>
      <c r="T16" s="10">
        <f t="shared" si="4"/>
        <v>0</v>
      </c>
    </row>
    <row r="17" spans="1:22" ht="15.75" x14ac:dyDescent="0.25">
      <c r="A17">
        <f t="shared" si="0"/>
        <v>0</v>
      </c>
      <c r="B17" s="6">
        <v>7</v>
      </c>
      <c r="C17" s="31" t="s">
        <v>40</v>
      </c>
      <c r="D17" s="23" t="s">
        <v>77</v>
      </c>
      <c r="E17" s="23" t="s">
        <v>86</v>
      </c>
      <c r="F17" s="23" t="s">
        <v>82</v>
      </c>
      <c r="G17" s="24">
        <v>1265.7960963200001</v>
      </c>
      <c r="H17" s="24">
        <v>1388.6694910399999</v>
      </c>
      <c r="I17" s="24">
        <v>72.933150932000018</v>
      </c>
      <c r="J17" s="40">
        <f t="shared" si="1"/>
        <v>1461.6026419719999</v>
      </c>
      <c r="K17" s="27">
        <v>47815</v>
      </c>
      <c r="L17" s="24">
        <v>197320.25750830999</v>
      </c>
      <c r="M17" s="19">
        <f t="shared" si="2"/>
        <v>0.74072609696976788</v>
      </c>
      <c r="N17" s="29" t="s">
        <v>24</v>
      </c>
      <c r="O17" s="29" t="s">
        <v>110</v>
      </c>
      <c r="P17" s="24">
        <v>1265.7960963200001</v>
      </c>
      <c r="Q17" s="10" t="str">
        <f>IF(S17&lt;&gt;0,S17&amp;COUNTIF($S$11:S17,S17),0)</f>
        <v>0.741</v>
      </c>
      <c r="S17" s="11" t="str">
        <f t="shared" si="3"/>
        <v>0.74</v>
      </c>
      <c r="T17" s="10">
        <f t="shared" si="4"/>
        <v>0</v>
      </c>
      <c r="V17" s="42"/>
    </row>
    <row r="18" spans="1:22" ht="15.75" x14ac:dyDescent="0.25">
      <c r="A18">
        <f t="shared" si="0"/>
        <v>11.21</v>
      </c>
      <c r="B18" s="6">
        <v>8</v>
      </c>
      <c r="C18" s="31" t="s">
        <v>41</v>
      </c>
      <c r="D18" s="23" t="s">
        <v>77</v>
      </c>
      <c r="E18" s="23" t="s">
        <v>88</v>
      </c>
      <c r="F18" s="23" t="s">
        <v>84</v>
      </c>
      <c r="G18" s="24">
        <v>28411.947853999998</v>
      </c>
      <c r="H18" s="24">
        <v>18533.333333340001</v>
      </c>
      <c r="I18" s="24">
        <v>3756.6666666639999</v>
      </c>
      <c r="J18" s="40">
        <f t="shared" si="1"/>
        <v>22290.000000004002</v>
      </c>
      <c r="K18" s="27">
        <v>46569</v>
      </c>
      <c r="L18" s="24">
        <v>197320.25750830999</v>
      </c>
      <c r="M18" s="19">
        <f t="shared" si="2"/>
        <v>11.296356634374083</v>
      </c>
      <c r="N18" s="29" t="s">
        <v>24</v>
      </c>
      <c r="O18" s="29" t="s">
        <v>100</v>
      </c>
      <c r="P18" s="24">
        <v>18791.702488020001</v>
      </c>
      <c r="Q18" s="10" t="str">
        <f>IF(S18&lt;&gt;0,S18&amp;COUNTIF($S$11:S18,S18),0)</f>
        <v>11.21</v>
      </c>
      <c r="S18" s="11" t="str">
        <f t="shared" si="3"/>
        <v>11.2</v>
      </c>
      <c r="T18" s="10">
        <f t="shared" si="4"/>
        <v>11.21</v>
      </c>
    </row>
    <row r="19" spans="1:22" ht="15.75" x14ac:dyDescent="0.25">
      <c r="A19">
        <f t="shared" si="0"/>
        <v>0</v>
      </c>
      <c r="B19" s="6">
        <v>9</v>
      </c>
      <c r="C19" s="31" t="s">
        <v>42</v>
      </c>
      <c r="D19" s="23" t="s">
        <v>77</v>
      </c>
      <c r="E19" s="23" t="s">
        <v>85</v>
      </c>
      <c r="F19" s="23" t="s">
        <v>82</v>
      </c>
      <c r="G19" s="24">
        <v>50.008633539999998</v>
      </c>
      <c r="H19" s="24">
        <v>0</v>
      </c>
      <c r="I19" s="24">
        <v>10.001726708000001</v>
      </c>
      <c r="J19" s="40">
        <f t="shared" si="1"/>
        <v>10.001726708000001</v>
      </c>
      <c r="K19" s="27">
        <v>46042</v>
      </c>
      <c r="L19" s="24">
        <v>197320.25750830999</v>
      </c>
      <c r="M19" s="19">
        <f t="shared" si="2"/>
        <v>5.0687784590889183E-3</v>
      </c>
      <c r="N19" s="29" t="s">
        <v>24</v>
      </c>
      <c r="O19" s="29" t="s">
        <v>103</v>
      </c>
      <c r="P19" s="24">
        <v>50.008633539999998</v>
      </c>
      <c r="Q19" s="10" t="str">
        <f>IF(S19&lt;&gt;0,S19&amp;COUNTIF($S$11:S19,S19),0)</f>
        <v>0.001</v>
      </c>
      <c r="S19" s="11" t="str">
        <f t="shared" si="3"/>
        <v>0.00</v>
      </c>
      <c r="T19" s="10">
        <f t="shared" si="4"/>
        <v>0</v>
      </c>
    </row>
    <row r="20" spans="1:22" ht="15.75" x14ac:dyDescent="0.25">
      <c r="A20">
        <f t="shared" si="0"/>
        <v>0</v>
      </c>
      <c r="B20" s="6">
        <v>10</v>
      </c>
      <c r="C20" s="31" t="s">
        <v>43</v>
      </c>
      <c r="D20" s="23" t="s">
        <v>77</v>
      </c>
      <c r="E20" s="23" t="s">
        <v>85</v>
      </c>
      <c r="F20" s="23" t="s">
        <v>82</v>
      </c>
      <c r="G20" s="24">
        <v>126</v>
      </c>
      <c r="H20" s="24">
        <v>99.567374470000004</v>
      </c>
      <c r="I20" s="24">
        <v>1.6760450520000001</v>
      </c>
      <c r="J20" s="40">
        <f t="shared" si="1"/>
        <v>101.24341952200001</v>
      </c>
      <c r="K20" s="27">
        <v>46219</v>
      </c>
      <c r="L20" s="24">
        <v>197320.25750830999</v>
      </c>
      <c r="M20" s="19">
        <f t="shared" si="2"/>
        <v>5.1309186801429249E-2</v>
      </c>
      <c r="N20" s="29" t="s">
        <v>24</v>
      </c>
      <c r="O20" s="29" t="s">
        <v>101</v>
      </c>
      <c r="P20" s="24">
        <v>103.4950791</v>
      </c>
      <c r="Q20" s="10" t="str">
        <f>IF(S20&lt;&gt;0,S20&amp;COUNTIF($S$11:S20,S20),0)</f>
        <v>0.051</v>
      </c>
      <c r="S20" s="11" t="str">
        <f t="shared" si="3"/>
        <v>0.05</v>
      </c>
      <c r="T20" s="10">
        <f t="shared" si="4"/>
        <v>0</v>
      </c>
    </row>
    <row r="21" spans="1:22" ht="15.75" x14ac:dyDescent="0.25">
      <c r="A21">
        <f t="shared" si="0"/>
        <v>0</v>
      </c>
      <c r="B21" s="6">
        <v>11</v>
      </c>
      <c r="C21" s="31" t="s">
        <v>44</v>
      </c>
      <c r="D21" s="23" t="s">
        <v>77</v>
      </c>
      <c r="E21" s="23" t="s">
        <v>85</v>
      </c>
      <c r="F21" s="23" t="s">
        <v>84</v>
      </c>
      <c r="G21" s="24">
        <v>683.58579971000006</v>
      </c>
      <c r="H21" s="24">
        <v>0</v>
      </c>
      <c r="I21" s="24">
        <v>136.71715994199999</v>
      </c>
      <c r="J21" s="40">
        <f t="shared" si="1"/>
        <v>136.71715994199999</v>
      </c>
      <c r="K21" s="27">
        <v>46387</v>
      </c>
      <c r="L21" s="24">
        <v>197320.25750830999</v>
      </c>
      <c r="M21" s="19">
        <f t="shared" si="2"/>
        <v>6.9286935699565594E-2</v>
      </c>
      <c r="N21" s="29" t="s">
        <v>24</v>
      </c>
      <c r="O21" s="29" t="s">
        <v>94</v>
      </c>
      <c r="P21" s="24">
        <v>683.58579971000006</v>
      </c>
      <c r="Q21" s="10" t="str">
        <f>IF(S21&lt;&gt;0,S21&amp;COUNTIF($S$11:S21,S21),0)</f>
        <v>0.061</v>
      </c>
      <c r="S21" s="11" t="str">
        <f t="shared" si="3"/>
        <v>0.06</v>
      </c>
      <c r="T21" s="10">
        <f t="shared" si="4"/>
        <v>0</v>
      </c>
    </row>
    <row r="22" spans="1:22" ht="15.75" x14ac:dyDescent="0.25">
      <c r="A22">
        <f t="shared" si="0"/>
        <v>0</v>
      </c>
      <c r="B22" s="6">
        <v>12</v>
      </c>
      <c r="C22" s="31" t="s">
        <v>45</v>
      </c>
      <c r="D22" s="23" t="s">
        <v>77</v>
      </c>
      <c r="E22" s="23" t="s">
        <v>86</v>
      </c>
      <c r="F22" s="23" t="s">
        <v>82</v>
      </c>
      <c r="G22" s="24">
        <v>88.580847820000002</v>
      </c>
      <c r="H22" s="24">
        <v>43.894651039999999</v>
      </c>
      <c r="I22" s="24">
        <v>4.4677369759999994</v>
      </c>
      <c r="J22" s="40">
        <f t="shared" si="1"/>
        <v>48.362388015999997</v>
      </c>
      <c r="K22" s="27">
        <v>49122</v>
      </c>
      <c r="L22" s="24">
        <v>197320.25750830999</v>
      </c>
      <c r="M22" s="19">
        <f t="shared" si="2"/>
        <v>2.450959096987964E-2</v>
      </c>
      <c r="N22" s="29" t="s">
        <v>24</v>
      </c>
      <c r="O22" s="43" t="s">
        <v>102</v>
      </c>
      <c r="P22" s="24">
        <v>11.768322039999999</v>
      </c>
      <c r="Q22" s="10" t="str">
        <f>IF(S22&lt;&gt;0,S22&amp;COUNTIF($S$11:S22,S22),0)</f>
        <v>0.022</v>
      </c>
      <c r="S22" s="11" t="str">
        <f t="shared" si="3"/>
        <v>0.02</v>
      </c>
      <c r="T22" s="10">
        <f t="shared" si="4"/>
        <v>0</v>
      </c>
    </row>
    <row r="23" spans="1:22" ht="15.75" x14ac:dyDescent="0.25">
      <c r="A23">
        <f t="shared" si="0"/>
        <v>0</v>
      </c>
      <c r="B23" s="6">
        <v>13</v>
      </c>
      <c r="C23" s="31" t="s">
        <v>46</v>
      </c>
      <c r="D23" s="23" t="s">
        <v>77</v>
      </c>
      <c r="E23" s="23" t="s">
        <v>89</v>
      </c>
      <c r="F23" s="23" t="s">
        <v>82</v>
      </c>
      <c r="G23" s="24">
        <v>800</v>
      </c>
      <c r="H23" s="24">
        <v>126.60251972</v>
      </c>
      <c r="I23" s="24">
        <v>44.109174947999996</v>
      </c>
      <c r="J23" s="40">
        <f t="shared" si="1"/>
        <v>170.71169466800001</v>
      </c>
      <c r="K23" s="27">
        <v>46399</v>
      </c>
      <c r="L23" s="24">
        <v>197320.25750830999</v>
      </c>
      <c r="M23" s="19">
        <f t="shared" si="2"/>
        <v>8.6515037444044804E-2</v>
      </c>
      <c r="N23" s="29" t="s">
        <v>24</v>
      </c>
      <c r="O23" s="29" t="s">
        <v>103</v>
      </c>
      <c r="P23" s="24">
        <v>800</v>
      </c>
      <c r="Q23" s="10" t="str">
        <f>IF(S23&lt;&gt;0,S23&amp;COUNTIF($S$11:S23,S23),0)</f>
        <v>0.082</v>
      </c>
      <c r="S23" s="11" t="str">
        <f t="shared" si="3"/>
        <v>0.08</v>
      </c>
      <c r="T23" s="10">
        <f t="shared" si="4"/>
        <v>0</v>
      </c>
    </row>
    <row r="24" spans="1:22" ht="15.75" x14ac:dyDescent="0.25">
      <c r="A24">
        <f t="shared" si="0"/>
        <v>0</v>
      </c>
      <c r="B24" s="6">
        <v>14</v>
      </c>
      <c r="C24" s="31" t="s">
        <v>47</v>
      </c>
      <c r="D24" s="23" t="s">
        <v>77</v>
      </c>
      <c r="E24" s="23" t="s">
        <v>89</v>
      </c>
      <c r="F24" s="23" t="s">
        <v>82</v>
      </c>
      <c r="G24" s="24">
        <v>65</v>
      </c>
      <c r="H24" s="24">
        <v>3.4252715</v>
      </c>
      <c r="I24" s="24">
        <v>6.170972850000001</v>
      </c>
      <c r="J24" s="40">
        <f t="shared" si="1"/>
        <v>9.596244350000001</v>
      </c>
      <c r="K24" s="27">
        <v>46402</v>
      </c>
      <c r="L24" s="24">
        <v>197320.25750830999</v>
      </c>
      <c r="M24" s="19">
        <f t="shared" si="2"/>
        <v>4.8632839178186565E-3</v>
      </c>
      <c r="N24" s="29" t="s">
        <v>24</v>
      </c>
      <c r="O24" s="29" t="s">
        <v>103</v>
      </c>
      <c r="P24" s="24">
        <v>46.618322849999998</v>
      </c>
      <c r="Q24" s="10" t="str">
        <f>IF(S24&lt;&gt;0,S24&amp;COUNTIF($S$11:S24,S24),0)</f>
        <v>0.002</v>
      </c>
      <c r="S24" s="11" t="str">
        <f t="shared" si="3"/>
        <v>0.00</v>
      </c>
      <c r="T24" s="10">
        <f t="shared" si="4"/>
        <v>0</v>
      </c>
    </row>
    <row r="25" spans="1:22" ht="15.75" x14ac:dyDescent="0.25">
      <c r="A25">
        <f t="shared" si="0"/>
        <v>0</v>
      </c>
      <c r="B25" s="6">
        <v>15</v>
      </c>
      <c r="C25" s="31" t="s">
        <v>48</v>
      </c>
      <c r="D25" s="23" t="s">
        <v>77</v>
      </c>
      <c r="E25" s="23" t="s">
        <v>88</v>
      </c>
      <c r="F25" s="23" t="s">
        <v>82</v>
      </c>
      <c r="G25" s="24">
        <v>70</v>
      </c>
      <c r="H25" s="24">
        <v>0</v>
      </c>
      <c r="I25" s="24">
        <v>32.544593830000004</v>
      </c>
      <c r="J25" s="40">
        <f t="shared" si="1"/>
        <v>32.544593830000004</v>
      </c>
      <c r="K25" s="27">
        <v>46387</v>
      </c>
      <c r="L25" s="24">
        <v>197320.25750830999</v>
      </c>
      <c r="M25" s="19">
        <f t="shared" si="2"/>
        <v>1.6493285707692436E-2</v>
      </c>
      <c r="N25" s="29" t="s">
        <v>24</v>
      </c>
      <c r="O25" s="29" t="s">
        <v>104</v>
      </c>
      <c r="P25" s="24">
        <v>231.06395681999999</v>
      </c>
      <c r="Q25" s="10" t="str">
        <f>IF(S25&lt;&gt;0,S25&amp;COUNTIF($S$11:S25,S25),0)</f>
        <v>0.011</v>
      </c>
      <c r="S25" s="11" t="str">
        <f t="shared" si="3"/>
        <v>0.01</v>
      </c>
      <c r="T25" s="10">
        <f t="shared" si="4"/>
        <v>0</v>
      </c>
    </row>
    <row r="26" spans="1:22" ht="15.75" x14ac:dyDescent="0.25">
      <c r="A26">
        <f t="shared" si="0"/>
        <v>5.4509999999999996</v>
      </c>
      <c r="B26" s="6">
        <v>16</v>
      </c>
      <c r="C26" s="31" t="s">
        <v>49</v>
      </c>
      <c r="D26" s="23" t="s">
        <v>77</v>
      </c>
      <c r="E26" s="23" t="s">
        <v>90</v>
      </c>
      <c r="F26" s="23" t="s">
        <v>83</v>
      </c>
      <c r="G26" s="24">
        <v>13187.042792530001</v>
      </c>
      <c r="H26" s="24">
        <v>6500.34268557</v>
      </c>
      <c r="I26" s="24">
        <v>4269.55261617</v>
      </c>
      <c r="J26" s="40">
        <f t="shared" si="1"/>
        <v>10769.89530174</v>
      </c>
      <c r="K26" s="27">
        <v>46292</v>
      </c>
      <c r="L26" s="24">
        <v>197320.25750830999</v>
      </c>
      <c r="M26" s="19">
        <f t="shared" si="2"/>
        <v>5.4580788803635292</v>
      </c>
      <c r="N26" s="29" t="s">
        <v>24</v>
      </c>
      <c r="O26" s="29" t="s">
        <v>105</v>
      </c>
      <c r="P26" s="24">
        <v>14048.781754610001</v>
      </c>
      <c r="Q26" s="10" t="str">
        <f>IF(S26&lt;&gt;0,S26&amp;COUNTIF($S$11:S26,S26),0)</f>
        <v>5.451</v>
      </c>
      <c r="S26" s="11" t="str">
        <f t="shared" si="3"/>
        <v>5.45</v>
      </c>
      <c r="T26" s="10">
        <f t="shared" si="4"/>
        <v>5.4509999999999996</v>
      </c>
    </row>
    <row r="27" spans="1:22" ht="15.75" x14ac:dyDescent="0.25">
      <c r="A27">
        <f t="shared" si="0"/>
        <v>0</v>
      </c>
      <c r="B27" s="6">
        <v>17</v>
      </c>
      <c r="C27" s="31" t="s">
        <v>50</v>
      </c>
      <c r="D27" s="23" t="s">
        <v>77</v>
      </c>
      <c r="E27" s="23" t="s">
        <v>87</v>
      </c>
      <c r="F27" s="23" t="s">
        <v>82</v>
      </c>
      <c r="G27" s="24">
        <v>126</v>
      </c>
      <c r="H27" s="24">
        <v>114.57508006</v>
      </c>
      <c r="I27" s="24">
        <v>182.90029884999998</v>
      </c>
      <c r="J27" s="40">
        <f t="shared" si="1"/>
        <v>297.47537891000002</v>
      </c>
      <c r="K27" s="27">
        <v>46512</v>
      </c>
      <c r="L27" s="24">
        <v>197320.25750830999</v>
      </c>
      <c r="M27" s="19">
        <f t="shared" si="2"/>
        <v>0.15075764782917542</v>
      </c>
      <c r="N27" s="29" t="s">
        <v>24</v>
      </c>
      <c r="O27" s="29" t="s">
        <v>102</v>
      </c>
      <c r="P27" s="24">
        <v>829.19671772000004</v>
      </c>
      <c r="Q27" s="10" t="str">
        <f>IF(S27&lt;&gt;0,S27&amp;COUNTIF($S$11:S27,S27),0)</f>
        <v>0.151</v>
      </c>
      <c r="S27" s="11" t="str">
        <f t="shared" si="3"/>
        <v>0.15</v>
      </c>
      <c r="T27" s="10">
        <f t="shared" si="4"/>
        <v>0</v>
      </c>
    </row>
    <row r="28" spans="1:22" ht="15.75" x14ac:dyDescent="0.25">
      <c r="A28">
        <f t="shared" si="0"/>
        <v>0</v>
      </c>
      <c r="B28" s="6">
        <v>18</v>
      </c>
      <c r="C28" s="31" t="s">
        <v>51</v>
      </c>
      <c r="D28" s="23" t="s">
        <v>77</v>
      </c>
      <c r="E28" s="23" t="s">
        <v>86</v>
      </c>
      <c r="F28" s="23" t="s">
        <v>82</v>
      </c>
      <c r="G28" s="24">
        <v>70</v>
      </c>
      <c r="H28" s="24">
        <v>52.189135229999998</v>
      </c>
      <c r="I28" s="24">
        <v>0</v>
      </c>
      <c r="J28" s="40">
        <f t="shared" si="1"/>
        <v>52.189135229999998</v>
      </c>
      <c r="K28" s="27">
        <v>46226</v>
      </c>
      <c r="L28" s="24">
        <v>197320.25750830999</v>
      </c>
      <c r="M28" s="19">
        <f t="shared" si="2"/>
        <v>2.6448949483963702E-2</v>
      </c>
      <c r="N28" s="29" t="s">
        <v>24</v>
      </c>
      <c r="O28" s="29" t="s">
        <v>106</v>
      </c>
      <c r="P28" s="24">
        <v>220.27013434</v>
      </c>
      <c r="Q28" s="10" t="str">
        <f>IF(S28&lt;&gt;0,S28&amp;COUNTIF($S$11:S28,S28),0)</f>
        <v>0.023</v>
      </c>
      <c r="S28" s="11" t="str">
        <f t="shared" si="3"/>
        <v>0.02</v>
      </c>
      <c r="T28" s="10">
        <f t="shared" si="4"/>
        <v>0</v>
      </c>
    </row>
    <row r="29" spans="1:22" ht="15.75" x14ac:dyDescent="0.25">
      <c r="A29">
        <f t="shared" si="0"/>
        <v>0</v>
      </c>
      <c r="B29" s="6">
        <v>19</v>
      </c>
      <c r="C29" s="31" t="s">
        <v>52</v>
      </c>
      <c r="D29" s="23" t="s">
        <v>77</v>
      </c>
      <c r="E29" s="23" t="s">
        <v>86</v>
      </c>
      <c r="F29" s="23" t="s">
        <v>82</v>
      </c>
      <c r="G29" s="24">
        <v>206</v>
      </c>
      <c r="H29" s="24">
        <v>67.096695999999994</v>
      </c>
      <c r="I29" s="24">
        <v>31.939704917000004</v>
      </c>
      <c r="J29" s="40">
        <f t="shared" si="1"/>
        <v>99.036400916999995</v>
      </c>
      <c r="K29" s="27">
        <v>46872</v>
      </c>
      <c r="L29" s="24">
        <v>197320.25750830999</v>
      </c>
      <c r="M29" s="19">
        <f t="shared" si="2"/>
        <v>5.0190691096594145E-2</v>
      </c>
      <c r="N29" s="29" t="s">
        <v>24</v>
      </c>
      <c r="O29" s="29" t="s">
        <v>107</v>
      </c>
      <c r="P29" s="24">
        <v>332.29827177999999</v>
      </c>
      <c r="Q29" s="10" t="str">
        <f>IF(S29&lt;&gt;0,S29&amp;COUNTIF($S$11:S29,S29),0)</f>
        <v>0.052</v>
      </c>
      <c r="S29" s="11" t="str">
        <f t="shared" si="3"/>
        <v>0.05</v>
      </c>
      <c r="T29" s="10">
        <f t="shared" si="4"/>
        <v>0</v>
      </c>
    </row>
    <row r="30" spans="1:22" ht="15.75" x14ac:dyDescent="0.25">
      <c r="A30">
        <f t="shared" si="0"/>
        <v>3.1709999999999998</v>
      </c>
      <c r="B30" s="6">
        <v>20</v>
      </c>
      <c r="C30" s="31" t="s">
        <v>53</v>
      </c>
      <c r="D30" s="23" t="s">
        <v>77</v>
      </c>
      <c r="E30" s="23" t="s">
        <v>86</v>
      </c>
      <c r="F30" s="23" t="s">
        <v>82</v>
      </c>
      <c r="G30" s="24">
        <v>6273.4</v>
      </c>
      <c r="H30" s="24">
        <v>6273.4</v>
      </c>
      <c r="I30" s="24">
        <v>0</v>
      </c>
      <c r="J30" s="40">
        <f t="shared" si="1"/>
        <v>6273.4</v>
      </c>
      <c r="K30" s="27">
        <v>48206</v>
      </c>
      <c r="L30" s="24">
        <v>197320.25750830999</v>
      </c>
      <c r="M30" s="19">
        <f t="shared" si="2"/>
        <v>3.1792985065082839</v>
      </c>
      <c r="N30" s="29" t="s">
        <v>24</v>
      </c>
      <c r="O30" s="29" t="s">
        <v>94</v>
      </c>
      <c r="P30" s="24">
        <v>6273.4</v>
      </c>
      <c r="Q30" s="10" t="str">
        <f>IF(S30&lt;&gt;0,S30&amp;COUNTIF($S$11:S30,S30),0)</f>
        <v>3.171</v>
      </c>
      <c r="S30" s="11" t="str">
        <f t="shared" si="3"/>
        <v>3.17</v>
      </c>
      <c r="T30" s="10">
        <f t="shared" si="4"/>
        <v>3.1709999999999998</v>
      </c>
    </row>
    <row r="31" spans="1:22" ht="15.75" x14ac:dyDescent="0.25">
      <c r="A31">
        <f t="shared" si="0"/>
        <v>0</v>
      </c>
      <c r="B31" s="6">
        <v>21</v>
      </c>
      <c r="C31" s="31" t="s">
        <v>54</v>
      </c>
      <c r="D31" s="23" t="s">
        <v>77</v>
      </c>
      <c r="E31" s="23" t="s">
        <v>91</v>
      </c>
      <c r="F31" s="23" t="s">
        <v>84</v>
      </c>
      <c r="G31" s="24">
        <v>55.377831899999997</v>
      </c>
      <c r="H31" s="24">
        <v>6.2395756500000008</v>
      </c>
      <c r="I31" s="24">
        <v>0.37604243500000006</v>
      </c>
      <c r="J31" s="40">
        <f t="shared" si="1"/>
        <v>6.6156180850000013</v>
      </c>
      <c r="K31" s="27">
        <v>46384</v>
      </c>
      <c r="L31" s="24">
        <v>197320.25750830999</v>
      </c>
      <c r="M31" s="19">
        <f t="shared" si="2"/>
        <v>3.3527313254805525E-3</v>
      </c>
      <c r="N31" s="29" t="s">
        <v>24</v>
      </c>
      <c r="O31" s="29" t="s">
        <v>102</v>
      </c>
      <c r="P31" s="24">
        <v>413.34144626</v>
      </c>
      <c r="Q31" s="10" t="str">
        <f>IF(S31&lt;&gt;0,S31&amp;COUNTIF($S$11:S31,S31),0)</f>
        <v>0.003</v>
      </c>
      <c r="S31" s="11" t="str">
        <f t="shared" si="3"/>
        <v>0.00</v>
      </c>
      <c r="T31" s="10">
        <f t="shared" si="4"/>
        <v>0</v>
      </c>
    </row>
    <row r="32" spans="1:22" ht="15.75" x14ac:dyDescent="0.25">
      <c r="A32">
        <f t="shared" si="0"/>
        <v>0</v>
      </c>
      <c r="B32" s="6">
        <v>22</v>
      </c>
      <c r="C32" s="31" t="s">
        <v>55</v>
      </c>
      <c r="D32" s="23" t="s">
        <v>77</v>
      </c>
      <c r="E32" s="23" t="s">
        <v>92</v>
      </c>
      <c r="F32" s="23" t="s">
        <v>82</v>
      </c>
      <c r="G32" s="24">
        <v>1161.63897</v>
      </c>
      <c r="H32" s="24">
        <v>0</v>
      </c>
      <c r="I32" s="24">
        <v>42.958378230000001</v>
      </c>
      <c r="J32" s="40">
        <f t="shared" si="1"/>
        <v>42.958378230000001</v>
      </c>
      <c r="K32" s="27">
        <v>46387</v>
      </c>
      <c r="L32" s="24">
        <v>197320.25750830999</v>
      </c>
      <c r="M32" s="19">
        <f t="shared" si="2"/>
        <v>2.1770891023792042E-2</v>
      </c>
      <c r="N32" s="29" t="s">
        <v>24</v>
      </c>
      <c r="O32" s="29" t="s">
        <v>94</v>
      </c>
      <c r="P32" s="24">
        <v>1161.63897</v>
      </c>
      <c r="Q32" s="10" t="str">
        <f>IF(S32&lt;&gt;0,S32&amp;COUNTIF($S$11:S32,S32),0)</f>
        <v>0.024</v>
      </c>
      <c r="S32" s="11" t="str">
        <f t="shared" si="3"/>
        <v>0.02</v>
      </c>
      <c r="T32" s="10">
        <f t="shared" si="4"/>
        <v>0</v>
      </c>
      <c r="V32" s="42"/>
    </row>
    <row r="33" spans="1:24" ht="15.75" x14ac:dyDescent="0.25">
      <c r="A33">
        <f t="shared" si="0"/>
        <v>0</v>
      </c>
      <c r="B33" s="6">
        <v>23</v>
      </c>
      <c r="C33" s="31" t="s">
        <v>56</v>
      </c>
      <c r="D33" s="23" t="s">
        <v>77</v>
      </c>
      <c r="E33" s="23" t="s">
        <v>86</v>
      </c>
      <c r="F33" s="23" t="s">
        <v>82</v>
      </c>
      <c r="G33" s="24">
        <v>490.4</v>
      </c>
      <c r="H33" s="24">
        <v>458.93211594999997</v>
      </c>
      <c r="I33" s="24">
        <v>11.300311396</v>
      </c>
      <c r="J33" s="40">
        <f t="shared" si="1"/>
        <v>470.23242734599995</v>
      </c>
      <c r="K33" s="27">
        <v>46306</v>
      </c>
      <c r="L33" s="24">
        <v>197320.25750830999</v>
      </c>
      <c r="M33" s="19">
        <f t="shared" si="2"/>
        <v>0.23830925080066678</v>
      </c>
      <c r="N33" s="29" t="s">
        <v>24</v>
      </c>
      <c r="O33" s="29" t="s">
        <v>94</v>
      </c>
      <c r="P33" s="24">
        <v>740.17</v>
      </c>
      <c r="Q33" s="10" t="str">
        <f>IF(S33&lt;&gt;0,S33&amp;COUNTIF($S$11:S33,S33),0)</f>
        <v>0.231</v>
      </c>
      <c r="S33" s="11" t="str">
        <f t="shared" si="3"/>
        <v>0.23</v>
      </c>
      <c r="T33" s="10">
        <f t="shared" si="4"/>
        <v>0</v>
      </c>
      <c r="V33" s="42"/>
    </row>
    <row r="34" spans="1:24" ht="15.75" x14ac:dyDescent="0.25">
      <c r="A34">
        <f t="shared" si="0"/>
        <v>0</v>
      </c>
      <c r="B34" s="6">
        <v>24</v>
      </c>
      <c r="C34" s="31" t="s">
        <v>57</v>
      </c>
      <c r="D34" s="23" t="s">
        <v>77</v>
      </c>
      <c r="E34" s="23" t="s">
        <v>86</v>
      </c>
      <c r="F34" s="23" t="s">
        <v>82</v>
      </c>
      <c r="G34" s="24">
        <v>388.45</v>
      </c>
      <c r="H34" s="24">
        <v>331.52314638999997</v>
      </c>
      <c r="I34" s="24">
        <v>0</v>
      </c>
      <c r="J34" s="40">
        <f t="shared" si="1"/>
        <v>331.52314638999997</v>
      </c>
      <c r="K34" s="27">
        <v>45240</v>
      </c>
      <c r="L34" s="24">
        <v>197320.25750830999</v>
      </c>
      <c r="M34" s="19">
        <f t="shared" si="2"/>
        <v>0.16801272741904774</v>
      </c>
      <c r="N34" s="29" t="s">
        <v>24</v>
      </c>
      <c r="O34" s="29" t="s">
        <v>94</v>
      </c>
      <c r="P34" s="24">
        <v>388.45</v>
      </c>
      <c r="Q34" s="10" t="str">
        <f>IF(S34&lt;&gt;0,S34&amp;COUNTIF($S$11:S34,S34),0)</f>
        <v>0.161</v>
      </c>
      <c r="S34" s="11" t="str">
        <f t="shared" si="3"/>
        <v>0.16</v>
      </c>
      <c r="T34" s="10">
        <f t="shared" si="4"/>
        <v>0</v>
      </c>
      <c r="V34" s="42"/>
    </row>
    <row r="35" spans="1:24" ht="15.75" x14ac:dyDescent="0.25">
      <c r="A35">
        <f t="shared" si="0"/>
        <v>17.11</v>
      </c>
      <c r="B35" s="6">
        <v>25</v>
      </c>
      <c r="C35" s="31" t="s">
        <v>58</v>
      </c>
      <c r="D35" s="23" t="s">
        <v>77</v>
      </c>
      <c r="E35" s="23" t="s">
        <v>90</v>
      </c>
      <c r="F35" s="23" t="s">
        <v>83</v>
      </c>
      <c r="G35" s="24">
        <v>127120.94917748</v>
      </c>
      <c r="H35" s="24">
        <v>10398.13736234</v>
      </c>
      <c r="I35" s="24">
        <v>23344.562363027999</v>
      </c>
      <c r="J35" s="40">
        <f t="shared" si="1"/>
        <v>33742.699725368002</v>
      </c>
      <c r="K35" s="27">
        <v>46387</v>
      </c>
      <c r="L35" s="24">
        <v>197320.25750830999</v>
      </c>
      <c r="M35" s="19">
        <f t="shared" si="2"/>
        <v>17.100474199384699</v>
      </c>
      <c r="N35" s="29" t="s">
        <v>24</v>
      </c>
      <c r="O35" s="29" t="s">
        <v>94</v>
      </c>
      <c r="P35" s="24">
        <v>127120.94917748</v>
      </c>
      <c r="Q35" s="10" t="str">
        <f>IF(S35&lt;&gt;0,S35&amp;COUNTIF($S$11:S35,S35),0)</f>
        <v>17.11</v>
      </c>
      <c r="S35" s="11" t="str">
        <f t="shared" si="3"/>
        <v>17.1</v>
      </c>
      <c r="T35" s="10">
        <f t="shared" si="4"/>
        <v>17.11</v>
      </c>
    </row>
    <row r="36" spans="1:24" ht="15.75" x14ac:dyDescent="0.25">
      <c r="A36">
        <f t="shared" si="0"/>
        <v>4.2210000000000001</v>
      </c>
      <c r="B36" s="6">
        <v>26</v>
      </c>
      <c r="C36" s="31" t="s">
        <v>59</v>
      </c>
      <c r="D36" s="23" t="s">
        <v>77</v>
      </c>
      <c r="E36" s="23" t="s">
        <v>92</v>
      </c>
      <c r="F36" s="23" t="s">
        <v>82</v>
      </c>
      <c r="G36" s="24">
        <v>119.66175003000001</v>
      </c>
      <c r="H36" s="24">
        <v>0</v>
      </c>
      <c r="I36" s="24">
        <v>8.3361768000000017E-2</v>
      </c>
      <c r="J36" s="40">
        <f t="shared" si="1"/>
        <v>8.3361768000000017E-2</v>
      </c>
      <c r="K36" s="27">
        <v>46387</v>
      </c>
      <c r="L36" s="24">
        <v>197320.25750830999</v>
      </c>
      <c r="M36" s="19">
        <f t="shared" si="2"/>
        <v>4.2246938582314234E-5</v>
      </c>
      <c r="N36" s="29" t="s">
        <v>24</v>
      </c>
      <c r="O36" s="29" t="s">
        <v>108</v>
      </c>
      <c r="P36" s="24">
        <v>420.55671994000005</v>
      </c>
      <c r="Q36" s="10" t="str">
        <f>IF(S36&lt;&gt;0,S36&amp;COUNTIF($S$11:S36,S36),0)</f>
        <v>4.221</v>
      </c>
      <c r="S36" s="11" t="str">
        <f t="shared" si="3"/>
        <v>4.22</v>
      </c>
      <c r="T36" s="10">
        <f t="shared" si="4"/>
        <v>4.2210000000000001</v>
      </c>
    </row>
    <row r="37" spans="1:24" ht="15.75" x14ac:dyDescent="0.25">
      <c r="A37">
        <f t="shared" si="0"/>
        <v>0</v>
      </c>
      <c r="B37" s="6">
        <v>27</v>
      </c>
      <c r="C37" s="31" t="s">
        <v>60</v>
      </c>
      <c r="D37" s="23" t="s">
        <v>77</v>
      </c>
      <c r="E37" s="23" t="s">
        <v>86</v>
      </c>
      <c r="F37" s="23" t="s">
        <v>82</v>
      </c>
      <c r="G37" s="24">
        <v>22</v>
      </c>
      <c r="H37" s="24">
        <v>19.26063285</v>
      </c>
      <c r="I37" s="24">
        <v>0.27393671500000005</v>
      </c>
      <c r="J37" s="40">
        <f t="shared" si="1"/>
        <v>19.534569565000002</v>
      </c>
      <c r="K37" s="27">
        <v>46313</v>
      </c>
      <c r="L37" s="24">
        <v>197320.25750830999</v>
      </c>
      <c r="M37" s="19">
        <f t="shared" si="2"/>
        <v>9.8999311128394E-3</v>
      </c>
      <c r="N37" s="29" t="s">
        <v>24</v>
      </c>
      <c r="O37" s="29" t="s">
        <v>109</v>
      </c>
      <c r="P37" s="24">
        <v>204.08561541</v>
      </c>
      <c r="Q37" s="10" t="str">
        <f>IF(S37&lt;&gt;0,S37&amp;COUNTIF($S$11:S37,S37),0)</f>
        <v>0.004</v>
      </c>
      <c r="S37" s="11" t="str">
        <f t="shared" si="3"/>
        <v>0.00</v>
      </c>
      <c r="T37" s="10">
        <f t="shared" si="4"/>
        <v>0</v>
      </c>
      <c r="V37" s="42"/>
    </row>
    <row r="38" spans="1:24" ht="15.75" x14ac:dyDescent="0.25">
      <c r="A38">
        <f t="shared" si="0"/>
        <v>0</v>
      </c>
      <c r="B38" s="6">
        <v>28</v>
      </c>
      <c r="C38" s="31" t="s">
        <v>61</v>
      </c>
      <c r="D38" s="23" t="s">
        <v>77</v>
      </c>
      <c r="E38" s="23" t="s">
        <v>92</v>
      </c>
      <c r="F38" s="23" t="s">
        <v>82</v>
      </c>
      <c r="G38" s="24">
        <v>9156.5790359999992</v>
      </c>
      <c r="H38" s="24">
        <v>0</v>
      </c>
      <c r="I38" s="24">
        <v>1831.3158072000001</v>
      </c>
      <c r="J38" s="40">
        <f t="shared" si="1"/>
        <v>1831.3158072000001</v>
      </c>
      <c r="K38" s="27">
        <v>46387</v>
      </c>
      <c r="L38" s="24">
        <v>197320.25750830999</v>
      </c>
      <c r="M38" s="19">
        <f t="shared" si="2"/>
        <v>0.92809315694455519</v>
      </c>
      <c r="N38" s="29" t="s">
        <v>24</v>
      </c>
      <c r="O38" s="29" t="s">
        <v>94</v>
      </c>
      <c r="P38" s="24">
        <v>9156.5790359999992</v>
      </c>
      <c r="Q38" s="10" t="str">
        <f>IF(S38&lt;&gt;0,S38&amp;COUNTIF($S$11:S38,S38),0)</f>
        <v>0.921</v>
      </c>
      <c r="S38" s="11" t="str">
        <f t="shared" si="3"/>
        <v>0.92</v>
      </c>
      <c r="T38" s="10">
        <f t="shared" si="4"/>
        <v>0</v>
      </c>
    </row>
    <row r="39" spans="1:24" ht="15.75" x14ac:dyDescent="0.25">
      <c r="A39">
        <f t="shared" si="0"/>
        <v>0</v>
      </c>
      <c r="B39" s="6">
        <v>29</v>
      </c>
      <c r="C39" s="31" t="s">
        <v>62</v>
      </c>
      <c r="D39" s="23" t="s">
        <v>79</v>
      </c>
      <c r="E39" s="23" t="s">
        <v>86</v>
      </c>
      <c r="F39" s="23" t="s">
        <v>80</v>
      </c>
      <c r="G39" s="24">
        <v>13.26289564</v>
      </c>
      <c r="H39" s="24">
        <v>10.969054960000001</v>
      </c>
      <c r="I39" s="24">
        <v>0</v>
      </c>
      <c r="J39" s="40">
        <f t="shared" si="1"/>
        <v>10.969054960000001</v>
      </c>
      <c r="K39" s="27">
        <v>49162</v>
      </c>
      <c r="L39" s="24">
        <v>197320.25750830999</v>
      </c>
      <c r="M39" s="19">
        <f t="shared" si="2"/>
        <v>5.5590110708922252E-3</v>
      </c>
      <c r="N39" s="29" t="s">
        <v>24</v>
      </c>
      <c r="O39" s="29" t="s">
        <v>111</v>
      </c>
      <c r="P39" s="24">
        <v>12.28847304</v>
      </c>
      <c r="Q39" s="10" t="str">
        <f>IF(S39&lt;&gt;0,S39&amp;COUNTIF($S$11:S39,S39),0)</f>
        <v>0.005</v>
      </c>
      <c r="S39" s="11" t="str">
        <f t="shared" si="3"/>
        <v>0.00</v>
      </c>
      <c r="T39" s="10">
        <f t="shared" si="4"/>
        <v>0</v>
      </c>
    </row>
    <row r="40" spans="1:24" ht="15.75" x14ac:dyDescent="0.25">
      <c r="A40">
        <f t="shared" si="0"/>
        <v>0</v>
      </c>
      <c r="B40" s="6">
        <v>30</v>
      </c>
      <c r="C40" s="31" t="s">
        <v>63</v>
      </c>
      <c r="D40" s="23" t="s">
        <v>79</v>
      </c>
      <c r="E40" s="23" t="s">
        <v>86</v>
      </c>
      <c r="F40" s="23" t="s">
        <v>80</v>
      </c>
      <c r="G40" s="24">
        <v>6.7279264300000001</v>
      </c>
      <c r="H40" s="24">
        <v>5.3453756800000001</v>
      </c>
      <c r="I40" s="24">
        <v>0</v>
      </c>
      <c r="J40" s="40">
        <f t="shared" si="1"/>
        <v>5.3453756800000001</v>
      </c>
      <c r="K40" s="27">
        <v>50668</v>
      </c>
      <c r="L40" s="24">
        <v>197320.25750830999</v>
      </c>
      <c r="M40" s="19">
        <f t="shared" si="2"/>
        <v>2.7089847476886066E-3</v>
      </c>
      <c r="N40" s="29" t="s">
        <v>24</v>
      </c>
      <c r="O40" s="29" t="s">
        <v>113</v>
      </c>
      <c r="P40" s="24">
        <v>6.9908794099999998</v>
      </c>
      <c r="Q40" s="10" t="str">
        <f>IF(S40&lt;&gt;0,S40&amp;COUNTIF($S$11:S40,S40),0)</f>
        <v>0.006</v>
      </c>
      <c r="S40" s="11" t="str">
        <f t="shared" si="3"/>
        <v>0.00</v>
      </c>
      <c r="T40" s="10">
        <f t="shared" si="4"/>
        <v>0</v>
      </c>
      <c r="X40" s="44"/>
    </row>
    <row r="41" spans="1:24" ht="15.75" x14ac:dyDescent="0.25">
      <c r="A41">
        <f t="shared" si="0"/>
        <v>0</v>
      </c>
      <c r="B41" s="6">
        <v>31</v>
      </c>
      <c r="C41" s="32" t="s">
        <v>64</v>
      </c>
      <c r="D41" s="23" t="s">
        <v>79</v>
      </c>
      <c r="E41" s="23" t="s">
        <v>93</v>
      </c>
      <c r="F41" s="23" t="s">
        <v>80</v>
      </c>
      <c r="G41" s="26">
        <v>16.21386382</v>
      </c>
      <c r="H41" s="26">
        <v>14.739247220000001</v>
      </c>
      <c r="I41" s="26">
        <v>0</v>
      </c>
      <c r="J41" s="40">
        <f t="shared" si="1"/>
        <v>14.739247220000001</v>
      </c>
      <c r="K41" s="41">
        <v>48132</v>
      </c>
      <c r="L41" s="24">
        <v>197320.25750830999</v>
      </c>
      <c r="M41" s="19">
        <f t="shared" si="2"/>
        <v>7.4697080807221566E-3</v>
      </c>
      <c r="N41" s="25" t="s">
        <v>24</v>
      </c>
      <c r="O41" s="25" t="s">
        <v>112</v>
      </c>
      <c r="P41" s="24">
        <v>23.936928120000001</v>
      </c>
      <c r="Q41" s="10" t="str">
        <f>IF(S41&lt;&gt;0,S41&amp;COUNTIF($S$11:S41,S41),0)</f>
        <v>0.007</v>
      </c>
      <c r="S41" s="11" t="str">
        <f t="shared" si="3"/>
        <v>0.00</v>
      </c>
      <c r="T41" s="10">
        <f t="shared" si="4"/>
        <v>0</v>
      </c>
      <c r="V41" s="35"/>
    </row>
    <row r="42" spans="1:24" ht="15.75" x14ac:dyDescent="0.25">
      <c r="A42">
        <f t="shared" si="0"/>
        <v>0</v>
      </c>
      <c r="B42" s="6">
        <v>32</v>
      </c>
      <c r="C42" s="32" t="s">
        <v>65</v>
      </c>
      <c r="D42" s="23" t="s">
        <v>79</v>
      </c>
      <c r="E42" s="23" t="s">
        <v>93</v>
      </c>
      <c r="F42" s="23" t="s">
        <v>80</v>
      </c>
      <c r="G42" s="26">
        <v>5.8271164299999993</v>
      </c>
      <c r="H42" s="26">
        <v>5.1460539800000005</v>
      </c>
      <c r="I42" s="26">
        <v>0</v>
      </c>
      <c r="J42" s="40">
        <f t="shared" si="1"/>
        <v>5.1460539800000005</v>
      </c>
      <c r="K42" s="41">
        <v>49102</v>
      </c>
      <c r="L42" s="24">
        <v>197320.25750830999</v>
      </c>
      <c r="M42" s="19">
        <f t="shared" si="2"/>
        <v>2.6079704359717238E-3</v>
      </c>
      <c r="N42" s="25" t="s">
        <v>24</v>
      </c>
      <c r="O42" s="25" t="s">
        <v>112</v>
      </c>
      <c r="P42" s="24">
        <v>1.8009964299999999</v>
      </c>
      <c r="Q42" s="10" t="str">
        <f>IF(S42&lt;&gt;0,S42&amp;COUNTIF($S$11:S42,S42),0)</f>
        <v>0.008</v>
      </c>
      <c r="S42" s="11" t="str">
        <f t="shared" si="3"/>
        <v>0.00</v>
      </c>
      <c r="T42" s="10">
        <f t="shared" si="4"/>
        <v>0</v>
      </c>
    </row>
    <row r="43" spans="1:24" ht="15.75" x14ac:dyDescent="0.25">
      <c r="A43">
        <f t="shared" si="0"/>
        <v>0</v>
      </c>
      <c r="B43" s="6">
        <v>33</v>
      </c>
      <c r="C43" s="32" t="s">
        <v>66</v>
      </c>
      <c r="D43" s="23" t="s">
        <v>79</v>
      </c>
      <c r="E43" s="23" t="s">
        <v>86</v>
      </c>
      <c r="F43" s="23" t="s">
        <v>80</v>
      </c>
      <c r="G43" s="26">
        <v>12.773338209999999</v>
      </c>
      <c r="H43" s="26">
        <v>12.121558279999999</v>
      </c>
      <c r="I43" s="26">
        <v>0</v>
      </c>
      <c r="J43" s="40">
        <f t="shared" si="1"/>
        <v>12.121558279999999</v>
      </c>
      <c r="K43" s="41">
        <v>50978</v>
      </c>
      <c r="L43" s="24">
        <v>197320.25750830999</v>
      </c>
      <c r="M43" s="19">
        <f t="shared" si="2"/>
        <v>6.1430886179993493E-3</v>
      </c>
      <c r="N43" s="25" t="s">
        <v>24</v>
      </c>
      <c r="O43" s="25" t="s">
        <v>114</v>
      </c>
      <c r="P43" s="24">
        <v>11.766812359999999</v>
      </c>
      <c r="Q43" s="10" t="str">
        <f>IF(S43&lt;&gt;0,S43&amp;COUNTIF($S$11:S43,S43),0)</f>
        <v>0.009</v>
      </c>
      <c r="S43" s="11" t="str">
        <f t="shared" si="3"/>
        <v>0.00</v>
      </c>
      <c r="T43" s="10">
        <f t="shared" si="4"/>
        <v>0</v>
      </c>
    </row>
    <row r="44" spans="1:24" ht="15.75" x14ac:dyDescent="0.25">
      <c r="A44">
        <f t="shared" si="0"/>
        <v>0</v>
      </c>
      <c r="B44" s="6">
        <v>34</v>
      </c>
      <c r="C44" s="32" t="s">
        <v>67</v>
      </c>
      <c r="D44" s="23" t="s">
        <v>79</v>
      </c>
      <c r="E44" s="23" t="s">
        <v>86</v>
      </c>
      <c r="F44" s="23" t="s">
        <v>80</v>
      </c>
      <c r="G44" s="26">
        <v>9.1028983500000002</v>
      </c>
      <c r="H44" s="26">
        <v>7.5225233499999993</v>
      </c>
      <c r="I44" s="26">
        <v>0</v>
      </c>
      <c r="J44" s="40">
        <f t="shared" si="1"/>
        <v>7.5225233499999993</v>
      </c>
      <c r="K44" s="41">
        <v>49881</v>
      </c>
      <c r="L44" s="24">
        <v>197320.25750830999</v>
      </c>
      <c r="M44" s="19">
        <f t="shared" si="2"/>
        <v>3.8123421512782051E-3</v>
      </c>
      <c r="N44" s="25" t="s">
        <v>24</v>
      </c>
      <c r="O44" s="25" t="s">
        <v>116</v>
      </c>
      <c r="P44" s="24">
        <v>6.83</v>
      </c>
      <c r="Q44" s="10" t="str">
        <f>IF(S44&lt;&gt;0,S44&amp;COUNTIF($S$11:S44,S44),0)</f>
        <v>0.0010</v>
      </c>
      <c r="S44" s="11" t="str">
        <f t="shared" si="3"/>
        <v>0.00</v>
      </c>
      <c r="T44" s="10">
        <f t="shared" si="4"/>
        <v>0</v>
      </c>
      <c r="V44" s="44"/>
      <c r="W44" s="44"/>
      <c r="X44" s="44"/>
    </row>
    <row r="45" spans="1:24" ht="15.75" x14ac:dyDescent="0.25">
      <c r="A45">
        <f t="shared" si="0"/>
        <v>0</v>
      </c>
      <c r="B45" s="6">
        <v>35</v>
      </c>
      <c r="C45" s="32" t="s">
        <v>68</v>
      </c>
      <c r="D45" s="23" t="s">
        <v>79</v>
      </c>
      <c r="E45" s="23" t="s">
        <v>93</v>
      </c>
      <c r="F45" s="23" t="s">
        <v>80</v>
      </c>
      <c r="G45" s="26">
        <v>7.2015997499999997</v>
      </c>
      <c r="H45" s="26">
        <v>5.9692397999999995</v>
      </c>
      <c r="I45" s="26">
        <v>0</v>
      </c>
      <c r="J45" s="40">
        <f t="shared" si="1"/>
        <v>5.9692397999999995</v>
      </c>
      <c r="K45" s="41">
        <v>49908</v>
      </c>
      <c r="L45" s="24">
        <v>197320.25750830999</v>
      </c>
      <c r="M45" s="19">
        <f t="shared" si="2"/>
        <v>3.0251530559393322E-3</v>
      </c>
      <c r="N45" s="25" t="s">
        <v>24</v>
      </c>
      <c r="O45" s="25" t="s">
        <v>117</v>
      </c>
      <c r="P45" s="24">
        <v>7.2015997499999997</v>
      </c>
      <c r="Q45" s="10" t="str">
        <f>IF(S45&lt;&gt;0,S45&amp;COUNTIF($S$11:S45,S45),0)</f>
        <v>0.0011</v>
      </c>
      <c r="S45" s="11" t="str">
        <f t="shared" si="3"/>
        <v>0.00</v>
      </c>
      <c r="T45" s="10">
        <f t="shared" si="4"/>
        <v>0</v>
      </c>
    </row>
    <row r="46" spans="1:24" ht="15.75" x14ac:dyDescent="0.25">
      <c r="A46">
        <f t="shared" si="0"/>
        <v>0</v>
      </c>
      <c r="B46" s="6">
        <v>36</v>
      </c>
      <c r="C46" s="32" t="s">
        <v>69</v>
      </c>
      <c r="D46" s="23" t="s">
        <v>79</v>
      </c>
      <c r="E46" s="23" t="s">
        <v>93</v>
      </c>
      <c r="F46" s="23" t="s">
        <v>80</v>
      </c>
      <c r="G46" s="26">
        <v>14.85701959</v>
      </c>
      <c r="H46" s="26">
        <v>15.400211140000001</v>
      </c>
      <c r="I46" s="26">
        <v>0</v>
      </c>
      <c r="J46" s="40">
        <f t="shared" si="1"/>
        <v>15.400211140000001</v>
      </c>
      <c r="K46" s="41">
        <v>51032</v>
      </c>
      <c r="L46" s="24">
        <v>197320.25750830999</v>
      </c>
      <c r="M46" s="19">
        <f t="shared" si="2"/>
        <v>7.8046782091552025E-3</v>
      </c>
      <c r="N46" s="25" t="s">
        <v>24</v>
      </c>
      <c r="O46" s="25" t="s">
        <v>112</v>
      </c>
      <c r="P46" s="24">
        <v>26.108330760000001</v>
      </c>
      <c r="Q46" s="10" t="str">
        <f>IF(S46&lt;&gt;0,S46&amp;COUNTIF($S$11:S46,S46),0)</f>
        <v>0.0012</v>
      </c>
      <c r="S46" s="11" t="str">
        <f t="shared" si="3"/>
        <v>0.00</v>
      </c>
      <c r="T46" s="10">
        <f t="shared" si="4"/>
        <v>0</v>
      </c>
      <c r="V46" s="44"/>
      <c r="W46" s="44"/>
      <c r="X46" s="44"/>
    </row>
    <row r="47" spans="1:24" ht="15.75" x14ac:dyDescent="0.25">
      <c r="A47">
        <f t="shared" si="0"/>
        <v>0</v>
      </c>
      <c r="B47" s="6">
        <v>37</v>
      </c>
      <c r="C47" s="32" t="s">
        <v>70</v>
      </c>
      <c r="D47" s="25" t="s">
        <v>76</v>
      </c>
      <c r="E47" s="23" t="s">
        <v>93</v>
      </c>
      <c r="F47" s="23" t="s">
        <v>80</v>
      </c>
      <c r="G47" s="26">
        <v>4.70309344</v>
      </c>
      <c r="H47" s="26">
        <v>4.3620932699999999</v>
      </c>
      <c r="I47" s="26">
        <v>0</v>
      </c>
      <c r="J47" s="40">
        <f t="shared" si="1"/>
        <v>4.3620932699999999</v>
      </c>
      <c r="K47" s="41">
        <v>51160</v>
      </c>
      <c r="L47" s="24">
        <v>197320.25750830999</v>
      </c>
      <c r="M47" s="19">
        <f t="shared" si="2"/>
        <v>2.2106667227597219E-3</v>
      </c>
      <c r="N47" s="25" t="s">
        <v>24</v>
      </c>
      <c r="O47" s="25" t="s">
        <v>102</v>
      </c>
      <c r="P47" s="24">
        <v>6.0085178899999994</v>
      </c>
      <c r="Q47" s="10" t="str">
        <f>IF(S47&lt;&gt;0,S47&amp;COUNTIF($S$11:S47,S47),0)</f>
        <v>0.0013</v>
      </c>
      <c r="S47" s="11" t="str">
        <f t="shared" si="3"/>
        <v>0.00</v>
      </c>
      <c r="T47" s="10">
        <f t="shared" si="4"/>
        <v>0</v>
      </c>
    </row>
    <row r="48" spans="1:24" ht="15.75" x14ac:dyDescent="0.25">
      <c r="A48">
        <f t="shared" si="0"/>
        <v>0</v>
      </c>
      <c r="B48" s="6">
        <v>38</v>
      </c>
      <c r="C48" s="32" t="s">
        <v>71</v>
      </c>
      <c r="D48" s="25" t="s">
        <v>76</v>
      </c>
      <c r="E48" s="23" t="s">
        <v>86</v>
      </c>
      <c r="F48" s="23" t="s">
        <v>80</v>
      </c>
      <c r="G48" s="26">
        <v>1.6089027499999999</v>
      </c>
      <c r="H48" s="26">
        <v>1.54585061</v>
      </c>
      <c r="I48" s="26">
        <v>0</v>
      </c>
      <c r="J48" s="40">
        <f t="shared" si="1"/>
        <v>1.54585061</v>
      </c>
      <c r="K48" s="41">
        <v>52565</v>
      </c>
      <c r="L48" s="24">
        <v>197320.25750830999</v>
      </c>
      <c r="M48" s="19">
        <f t="shared" si="2"/>
        <v>7.8342215316382178E-4</v>
      </c>
      <c r="N48" s="25" t="s">
        <v>24</v>
      </c>
      <c r="O48" s="25" t="s">
        <v>102</v>
      </c>
      <c r="P48" s="24">
        <v>1.1406722900000001</v>
      </c>
      <c r="Q48" s="10" t="str">
        <f>IF(S48&lt;&gt;0,S48&amp;COUNTIF($S$11:S48,S48),0)</f>
        <v>0.0014</v>
      </c>
      <c r="S48" s="11" t="str">
        <f t="shared" si="3"/>
        <v>0.00</v>
      </c>
      <c r="T48" s="10">
        <f t="shared" si="4"/>
        <v>0</v>
      </c>
      <c r="V48" s="44"/>
      <c r="W48" s="44"/>
      <c r="X48" s="44"/>
    </row>
    <row r="49" spans="1:23" ht="15.75" x14ac:dyDescent="0.25">
      <c r="A49">
        <f t="shared" si="0"/>
        <v>0</v>
      </c>
      <c r="B49" s="6">
        <v>39</v>
      </c>
      <c r="C49" s="32" t="s">
        <v>72</v>
      </c>
      <c r="D49" s="25" t="s">
        <v>76</v>
      </c>
      <c r="E49" s="23" t="s">
        <v>86</v>
      </c>
      <c r="F49" s="23" t="s">
        <v>80</v>
      </c>
      <c r="G49" s="26">
        <v>90.644399680000006</v>
      </c>
      <c r="H49" s="26">
        <v>89.11819168000001</v>
      </c>
      <c r="I49" s="26">
        <v>0</v>
      </c>
      <c r="J49" s="40">
        <f t="shared" si="1"/>
        <v>89.11819168000001</v>
      </c>
      <c r="K49" s="41">
        <v>55087</v>
      </c>
      <c r="L49" s="24">
        <v>197320.25750830999</v>
      </c>
      <c r="M49" s="19">
        <f t="shared" si="2"/>
        <v>4.5164238484863554E-2</v>
      </c>
      <c r="N49" s="25" t="s">
        <v>24</v>
      </c>
      <c r="O49" s="25" t="s">
        <v>102</v>
      </c>
      <c r="P49" s="24">
        <v>36.015575524013364</v>
      </c>
      <c r="Q49" s="10" t="str">
        <f>IF(S49&lt;&gt;0,S49&amp;COUNTIF($S$11:S49,S49),0)</f>
        <v>0.041</v>
      </c>
      <c r="S49" s="11" t="str">
        <f t="shared" si="3"/>
        <v>0.04</v>
      </c>
      <c r="T49" s="10">
        <f t="shared" si="4"/>
        <v>0</v>
      </c>
      <c r="W49" s="42"/>
    </row>
    <row r="50" spans="1:23" ht="15.75" x14ac:dyDescent="0.25">
      <c r="A50">
        <f t="shared" si="0"/>
        <v>0</v>
      </c>
      <c r="B50" s="6">
        <v>40</v>
      </c>
      <c r="C50" s="32" t="s">
        <v>73</v>
      </c>
      <c r="D50" s="25" t="s">
        <v>76</v>
      </c>
      <c r="E50" s="23" t="s">
        <v>86</v>
      </c>
      <c r="F50" s="23" t="s">
        <v>80</v>
      </c>
      <c r="G50" s="26">
        <v>101.99036881000001</v>
      </c>
      <c r="H50" s="26">
        <v>99.954694810000007</v>
      </c>
      <c r="I50" s="26">
        <v>0</v>
      </c>
      <c r="J50" s="40">
        <f t="shared" si="1"/>
        <v>99.954694810000007</v>
      </c>
      <c r="K50" s="41">
        <v>55169</v>
      </c>
      <c r="L50" s="24">
        <v>197320.25750830999</v>
      </c>
      <c r="M50" s="19">
        <f t="shared" si="2"/>
        <v>5.0656073569025468E-2</v>
      </c>
      <c r="N50" s="25" t="s">
        <v>26</v>
      </c>
      <c r="O50" s="25" t="s">
        <v>102</v>
      </c>
      <c r="P50" s="24">
        <v>33.0501638</v>
      </c>
      <c r="Q50" s="10" t="str">
        <f>IF(S50&lt;&gt;0,S50&amp;COUNTIF($S$11:S50,S50),0)</f>
        <v>0.053</v>
      </c>
      <c r="S50" s="11" t="str">
        <f t="shared" si="3"/>
        <v>0.05</v>
      </c>
      <c r="T50" s="10">
        <f t="shared" si="4"/>
        <v>0</v>
      </c>
      <c r="W50" s="42"/>
    </row>
    <row r="51" spans="1:23" ht="15.75" x14ac:dyDescent="0.25">
      <c r="A51">
        <f t="shared" si="0"/>
        <v>0</v>
      </c>
      <c r="B51" s="6">
        <v>41</v>
      </c>
      <c r="C51" s="32" t="s">
        <v>74</v>
      </c>
      <c r="D51" s="25" t="s">
        <v>76</v>
      </c>
      <c r="E51" s="23" t="s">
        <v>86</v>
      </c>
      <c r="F51" s="23" t="s">
        <v>80</v>
      </c>
      <c r="G51" s="26">
        <v>100.71599965</v>
      </c>
      <c r="H51" s="26">
        <v>99.352494650000011</v>
      </c>
      <c r="I51" s="26">
        <v>0</v>
      </c>
      <c r="J51" s="40">
        <f t="shared" si="1"/>
        <v>99.352494650000011</v>
      </c>
      <c r="K51" s="41">
        <v>55071</v>
      </c>
      <c r="L51" s="24">
        <v>197320.25750830999</v>
      </c>
      <c r="M51" s="19">
        <f t="shared" si="2"/>
        <v>5.0350884346385905E-2</v>
      </c>
      <c r="N51" s="25" t="s">
        <v>24</v>
      </c>
      <c r="O51" s="25" t="s">
        <v>102</v>
      </c>
      <c r="P51" s="24">
        <v>40.017306140000002</v>
      </c>
      <c r="Q51" s="10" t="str">
        <f>IF(S51&lt;&gt;0,S51&amp;COUNTIF($S$11:S51,S51),0)</f>
        <v>0.054</v>
      </c>
      <c r="S51" s="11" t="str">
        <f t="shared" si="3"/>
        <v>0.05</v>
      </c>
      <c r="T51" s="10">
        <f t="shared" si="4"/>
        <v>0</v>
      </c>
    </row>
    <row r="52" spans="1:23" ht="15.75" x14ac:dyDescent="0.25">
      <c r="A52">
        <f t="shared" si="0"/>
        <v>0</v>
      </c>
      <c r="B52" s="6">
        <v>42</v>
      </c>
      <c r="C52" s="32" t="s">
        <v>75</v>
      </c>
      <c r="D52" s="25" t="s">
        <v>76</v>
      </c>
      <c r="E52" s="23" t="s">
        <v>86</v>
      </c>
      <c r="F52" s="23" t="s">
        <v>80</v>
      </c>
      <c r="G52" s="26">
        <v>5.94</v>
      </c>
      <c r="H52" s="26">
        <v>5.1669430199999997</v>
      </c>
      <c r="I52" s="26">
        <v>0</v>
      </c>
      <c r="J52" s="40">
        <f t="shared" si="1"/>
        <v>5.1669430199999997</v>
      </c>
      <c r="K52" s="41">
        <v>47819</v>
      </c>
      <c r="L52" s="24">
        <v>197320.25750830999</v>
      </c>
      <c r="M52" s="19">
        <f t="shared" si="2"/>
        <v>2.6185567996141489E-3</v>
      </c>
      <c r="N52" s="25" t="s">
        <v>24</v>
      </c>
      <c r="O52" s="25" t="s">
        <v>115</v>
      </c>
      <c r="P52" s="24">
        <v>6</v>
      </c>
      <c r="Q52" s="10" t="str">
        <f>IF(S52&lt;&gt;0,S52&amp;COUNTIF($S$11:S52,S52),0)</f>
        <v>0.0015</v>
      </c>
      <c r="S52" s="11" t="str">
        <f t="shared" si="3"/>
        <v>0.00</v>
      </c>
      <c r="T52" s="10">
        <f t="shared" si="4"/>
        <v>0</v>
      </c>
    </row>
    <row r="53" spans="1:23" ht="15.75" thickBot="1" x14ac:dyDescent="0.3">
      <c r="B53" s="7"/>
      <c r="C53" s="7" t="s">
        <v>20</v>
      </c>
      <c r="D53" s="7"/>
      <c r="E53" s="7"/>
      <c r="F53" s="7"/>
      <c r="G53" s="33">
        <f>+SUM(G11:G52)</f>
        <v>298782.1249997401</v>
      </c>
      <c r="H53" s="33">
        <f>+SUM(H11:H52)</f>
        <v>132255.94378798996</v>
      </c>
      <c r="I53" s="33">
        <f>+SUM(I11:I52)</f>
        <v>40106.058773359997</v>
      </c>
      <c r="J53" s="34">
        <f>H53+I53</f>
        <v>172362.00256134995</v>
      </c>
      <c r="K53" s="28"/>
      <c r="L53" s="45">
        <v>197320.25750830999</v>
      </c>
      <c r="M53" s="12">
        <f t="shared" ref="M53" si="5">IF(L53=0,0,J53/L53*100)</f>
        <v>87.351397539145751</v>
      </c>
      <c r="N53" s="28"/>
      <c r="O53" s="28"/>
      <c r="P53" s="45">
        <f>SUM(P11:P52)</f>
        <v>445770.64294233394</v>
      </c>
    </row>
    <row r="54" spans="1:23" ht="15.75" thickTop="1" x14ac:dyDescent="0.25"/>
    <row r="55" spans="1:23" x14ac:dyDescent="0.25">
      <c r="B55" s="8" t="s">
        <v>21</v>
      </c>
      <c r="C55" s="8"/>
    </row>
    <row r="56" spans="1:23" x14ac:dyDescent="0.25">
      <c r="B56" s="9" t="s">
        <v>22</v>
      </c>
      <c r="C56" s="9"/>
    </row>
    <row r="57" spans="1:23" x14ac:dyDescent="0.25">
      <c r="M57" s="42"/>
    </row>
    <row r="58" spans="1:23" hidden="1" x14ac:dyDescent="0.25"/>
    <row r="59" spans="1:23" hidden="1" x14ac:dyDescent="0.25"/>
  </sheetData>
  <mergeCells count="12">
    <mergeCell ref="N9:N10"/>
    <mergeCell ref="O9:P9"/>
    <mergeCell ref="A4:O4"/>
    <mergeCell ref="B9:B10"/>
    <mergeCell ref="C9:C10"/>
    <mergeCell ref="D9:D10"/>
    <mergeCell ref="E9:E10"/>
    <mergeCell ref="F9:F10"/>
    <mergeCell ref="G9:G10"/>
    <mergeCell ref="K9:K10"/>
    <mergeCell ref="L9:L10"/>
    <mergeCell ref="M9:M10"/>
  </mergeCells>
  <dataValidations count="1">
    <dataValidation type="list" allowBlank="1" showInputMessage="1" showErrorMessage="1" sqref="N11:N52">
      <formula1>$R$11:$R$15</formula1>
    </dataValidation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Related Party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Endashaw Habte Tsige</cp:lastModifiedBy>
  <dcterms:created xsi:type="dcterms:W3CDTF">2026-08-04T09:22:27Z</dcterms:created>
  <dcterms:modified xsi:type="dcterms:W3CDTF">2026-09-09T10:26:01Z</dcterms:modified>
</cp:coreProperties>
</file>