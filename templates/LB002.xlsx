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95"/>
  </bookViews>
  <sheets>
    <sheet name="Single Borrower" sheetId="1" r:id="rId1"/>
  </sheets>
  <calcPr calcId="145621"/>
</workbook>
</file>

<file path=xl/calcChain.xml><?xml version="1.0" encoding="utf-8"?>
<calcChain xmlns="http://schemas.openxmlformats.org/spreadsheetml/2006/main">
  <c r="I11" i="1" l="1"/>
  <c r="L216" i="1" l="1"/>
  <c r="L28" i="1"/>
  <c r="R28" i="1" s="1"/>
  <c r="L29" i="1"/>
  <c r="R29" i="1" s="1"/>
  <c r="L30" i="1"/>
  <c r="R30" i="1" s="1"/>
  <c r="L31" i="1"/>
  <c r="R31" i="1" s="1"/>
  <c r="L32" i="1"/>
  <c r="R32" i="1" s="1"/>
  <c r="L33" i="1"/>
  <c r="R33" i="1" s="1"/>
  <c r="L34" i="1"/>
  <c r="R34" i="1" s="1"/>
  <c r="L35" i="1"/>
  <c r="R35" i="1" s="1"/>
  <c r="L36" i="1"/>
  <c r="R36" i="1" s="1"/>
  <c r="L37" i="1"/>
  <c r="R37" i="1" s="1"/>
  <c r="L38" i="1"/>
  <c r="R38" i="1" s="1"/>
  <c r="L39" i="1"/>
  <c r="R39" i="1" s="1"/>
  <c r="L40" i="1"/>
  <c r="R40" i="1" s="1"/>
  <c r="L41" i="1"/>
  <c r="R41" i="1" s="1"/>
  <c r="L42" i="1"/>
  <c r="R42" i="1" s="1"/>
  <c r="L43" i="1"/>
  <c r="R43" i="1" s="1"/>
  <c r="L44" i="1"/>
  <c r="R44" i="1" s="1"/>
  <c r="L45" i="1"/>
  <c r="R45" i="1" s="1"/>
  <c r="L46" i="1"/>
  <c r="R46" i="1" s="1"/>
  <c r="L47" i="1"/>
  <c r="R47" i="1" s="1"/>
  <c r="L48" i="1"/>
  <c r="R48" i="1" s="1"/>
  <c r="L49" i="1"/>
  <c r="R49" i="1" s="1"/>
  <c r="L50" i="1"/>
  <c r="R50" i="1" s="1"/>
  <c r="L51" i="1"/>
  <c r="R51" i="1" s="1"/>
  <c r="L52" i="1"/>
  <c r="R52" i="1" s="1"/>
  <c r="L53" i="1"/>
  <c r="R53" i="1" s="1"/>
  <c r="L54" i="1"/>
  <c r="R54" i="1" s="1"/>
  <c r="L55" i="1"/>
  <c r="R55" i="1" s="1"/>
  <c r="L56" i="1"/>
  <c r="R56" i="1" s="1"/>
  <c r="L57" i="1"/>
  <c r="R57" i="1" s="1"/>
  <c r="L58" i="1"/>
  <c r="R58" i="1" s="1"/>
  <c r="L59" i="1"/>
  <c r="R59" i="1" s="1"/>
  <c r="L60" i="1"/>
  <c r="R60" i="1" s="1"/>
  <c r="L61" i="1"/>
  <c r="R61" i="1" s="1"/>
  <c r="L62" i="1"/>
  <c r="R62" i="1" s="1"/>
  <c r="L63" i="1"/>
  <c r="R63" i="1" s="1"/>
  <c r="L64" i="1"/>
  <c r="R64" i="1" s="1"/>
  <c r="L65" i="1"/>
  <c r="R65" i="1" s="1"/>
  <c r="L66" i="1"/>
  <c r="R66" i="1" s="1"/>
  <c r="L67" i="1"/>
  <c r="R67" i="1" s="1"/>
  <c r="L68" i="1"/>
  <c r="R68" i="1" s="1"/>
  <c r="L69" i="1"/>
  <c r="R69" i="1" s="1"/>
  <c r="L70" i="1"/>
  <c r="R70" i="1" s="1"/>
  <c r="L71" i="1"/>
  <c r="R71" i="1" s="1"/>
  <c r="L72" i="1"/>
  <c r="R72" i="1" s="1"/>
  <c r="L73" i="1"/>
  <c r="R73" i="1" s="1"/>
  <c r="L74" i="1"/>
  <c r="R74" i="1" s="1"/>
  <c r="L75" i="1"/>
  <c r="R75" i="1" s="1"/>
  <c r="L76" i="1"/>
  <c r="R76" i="1" s="1"/>
  <c r="L77" i="1"/>
  <c r="R77" i="1" s="1"/>
  <c r="L78" i="1"/>
  <c r="R78" i="1" s="1"/>
  <c r="L79" i="1"/>
  <c r="R79" i="1" s="1"/>
  <c r="L80" i="1"/>
  <c r="R80" i="1" s="1"/>
  <c r="L81" i="1"/>
  <c r="R81" i="1" s="1"/>
  <c r="L82" i="1"/>
  <c r="R82" i="1" s="1"/>
  <c r="L83" i="1"/>
  <c r="R83" i="1" s="1"/>
  <c r="L84" i="1"/>
  <c r="R84" i="1" s="1"/>
  <c r="L85" i="1"/>
  <c r="R85" i="1" s="1"/>
  <c r="L86" i="1"/>
  <c r="R86" i="1" s="1"/>
  <c r="L87" i="1"/>
  <c r="R87" i="1" s="1"/>
  <c r="L88" i="1"/>
  <c r="R88" i="1" s="1"/>
  <c r="L89" i="1"/>
  <c r="R89" i="1" s="1"/>
  <c r="L90" i="1"/>
  <c r="R90" i="1" s="1"/>
  <c r="L91" i="1"/>
  <c r="R91" i="1" s="1"/>
  <c r="L92" i="1"/>
  <c r="R92" i="1" s="1"/>
  <c r="L93" i="1"/>
  <c r="R93" i="1" s="1"/>
  <c r="L94" i="1"/>
  <c r="R94" i="1" s="1"/>
  <c r="L95" i="1"/>
  <c r="R95" i="1" s="1"/>
  <c r="L96" i="1"/>
  <c r="R96" i="1" s="1"/>
  <c r="L97" i="1"/>
  <c r="R97" i="1" s="1"/>
  <c r="L98" i="1"/>
  <c r="R98" i="1" s="1"/>
  <c r="L99" i="1"/>
  <c r="R99" i="1" s="1"/>
  <c r="L100" i="1"/>
  <c r="R100" i="1" s="1"/>
  <c r="L101" i="1"/>
  <c r="R101" i="1" s="1"/>
  <c r="L102" i="1"/>
  <c r="R102" i="1" s="1"/>
  <c r="L103" i="1"/>
  <c r="R103" i="1" s="1"/>
  <c r="L104" i="1"/>
  <c r="R104" i="1" s="1"/>
  <c r="L105" i="1"/>
  <c r="R105" i="1" s="1"/>
  <c r="L106" i="1"/>
  <c r="R106" i="1" s="1"/>
  <c r="L107" i="1"/>
  <c r="R107" i="1" s="1"/>
  <c r="L108" i="1"/>
  <c r="R108" i="1" s="1"/>
  <c r="L109" i="1"/>
  <c r="R109" i="1" s="1"/>
  <c r="L110" i="1"/>
  <c r="R110" i="1" s="1"/>
  <c r="L111" i="1"/>
  <c r="R111" i="1" s="1"/>
  <c r="L112" i="1"/>
  <c r="R112" i="1" s="1"/>
  <c r="L113" i="1"/>
  <c r="R113" i="1" s="1"/>
  <c r="L114" i="1"/>
  <c r="R114" i="1" s="1"/>
  <c r="L115" i="1"/>
  <c r="R115" i="1" s="1"/>
  <c r="L116" i="1"/>
  <c r="R116" i="1" s="1"/>
  <c r="L117" i="1"/>
  <c r="R117" i="1" s="1"/>
  <c r="L118" i="1"/>
  <c r="R118" i="1" s="1"/>
  <c r="L119" i="1"/>
  <c r="R119" i="1" s="1"/>
  <c r="L120" i="1"/>
  <c r="R120" i="1" s="1"/>
  <c r="L121" i="1"/>
  <c r="R121" i="1" s="1"/>
  <c r="L122" i="1"/>
  <c r="R122" i="1" s="1"/>
  <c r="L123" i="1"/>
  <c r="R123" i="1" s="1"/>
  <c r="L124" i="1"/>
  <c r="R124" i="1" s="1"/>
  <c r="L125" i="1"/>
  <c r="R125" i="1" s="1"/>
  <c r="L126" i="1"/>
  <c r="R126" i="1" s="1"/>
  <c r="L127" i="1"/>
  <c r="R127" i="1" s="1"/>
  <c r="L128" i="1"/>
  <c r="R128" i="1" s="1"/>
  <c r="L129" i="1"/>
  <c r="R129" i="1" s="1"/>
  <c r="L130" i="1"/>
  <c r="R130" i="1" s="1"/>
  <c r="L131" i="1"/>
  <c r="R131" i="1" s="1"/>
  <c r="L132" i="1"/>
  <c r="R132" i="1" s="1"/>
  <c r="L133" i="1"/>
  <c r="R133" i="1" s="1"/>
  <c r="L134" i="1"/>
  <c r="R134" i="1" s="1"/>
  <c r="L135" i="1"/>
  <c r="R135" i="1" s="1"/>
  <c r="L136" i="1"/>
  <c r="R136" i="1" s="1"/>
  <c r="L137" i="1"/>
  <c r="R137" i="1" s="1"/>
  <c r="L138" i="1"/>
  <c r="R138" i="1" s="1"/>
  <c r="L139" i="1"/>
  <c r="R139" i="1" s="1"/>
  <c r="L140" i="1"/>
  <c r="R140" i="1" s="1"/>
  <c r="L141" i="1"/>
  <c r="R141" i="1" s="1"/>
  <c r="L142" i="1"/>
  <c r="R142" i="1" s="1"/>
  <c r="L143" i="1"/>
  <c r="R143" i="1" s="1"/>
  <c r="L144" i="1"/>
  <c r="R144" i="1" s="1"/>
  <c r="L145" i="1"/>
  <c r="R145" i="1" s="1"/>
  <c r="L146" i="1"/>
  <c r="R146" i="1" s="1"/>
  <c r="L147" i="1"/>
  <c r="R147" i="1" s="1"/>
  <c r="L148" i="1"/>
  <c r="R148" i="1" s="1"/>
  <c r="L149" i="1"/>
  <c r="R149" i="1" s="1"/>
  <c r="L150" i="1"/>
  <c r="R150" i="1" s="1"/>
  <c r="L151" i="1"/>
  <c r="R151" i="1" s="1"/>
  <c r="L152" i="1"/>
  <c r="R152" i="1" s="1"/>
  <c r="L153" i="1"/>
  <c r="R153" i="1" s="1"/>
  <c r="L154" i="1"/>
  <c r="R154" i="1" s="1"/>
  <c r="L155" i="1"/>
  <c r="R155" i="1" s="1"/>
  <c r="L156" i="1"/>
  <c r="R156" i="1" s="1"/>
  <c r="L157" i="1"/>
  <c r="R157" i="1" s="1"/>
  <c r="L158" i="1"/>
  <c r="R158" i="1" s="1"/>
  <c r="L159" i="1"/>
  <c r="R159" i="1" s="1"/>
  <c r="L160" i="1"/>
  <c r="R160" i="1" s="1"/>
  <c r="L161" i="1"/>
  <c r="R161" i="1" s="1"/>
  <c r="L162" i="1"/>
  <c r="R162" i="1" s="1"/>
  <c r="L163" i="1"/>
  <c r="R163" i="1" s="1"/>
  <c r="L164" i="1"/>
  <c r="R164" i="1" s="1"/>
  <c r="L165" i="1"/>
  <c r="R165" i="1" s="1"/>
  <c r="L166" i="1"/>
  <c r="R166" i="1" s="1"/>
  <c r="L167" i="1"/>
  <c r="R167" i="1" s="1"/>
  <c r="L168" i="1"/>
  <c r="R168" i="1" s="1"/>
  <c r="L169" i="1"/>
  <c r="R169" i="1" s="1"/>
  <c r="L170" i="1"/>
  <c r="R170" i="1" s="1"/>
  <c r="L171" i="1"/>
  <c r="R171" i="1" s="1"/>
  <c r="L172" i="1"/>
  <c r="R172" i="1" s="1"/>
  <c r="L173" i="1"/>
  <c r="R173" i="1" s="1"/>
  <c r="L174" i="1"/>
  <c r="R174" i="1" s="1"/>
  <c r="L175" i="1"/>
  <c r="R175" i="1" s="1"/>
  <c r="L176" i="1"/>
  <c r="R176" i="1" s="1"/>
  <c r="L177" i="1"/>
  <c r="R177" i="1" s="1"/>
  <c r="L178" i="1"/>
  <c r="R178" i="1" s="1"/>
  <c r="L179" i="1"/>
  <c r="R179" i="1" s="1"/>
  <c r="L180" i="1"/>
  <c r="R180" i="1" s="1"/>
  <c r="L181" i="1"/>
  <c r="R181" i="1" s="1"/>
  <c r="L182" i="1"/>
  <c r="R182" i="1" s="1"/>
  <c r="L183" i="1"/>
  <c r="R183" i="1" s="1"/>
  <c r="L184" i="1"/>
  <c r="R184" i="1" s="1"/>
  <c r="L185" i="1"/>
  <c r="R185" i="1" s="1"/>
  <c r="L186" i="1"/>
  <c r="R186" i="1" s="1"/>
  <c r="L187" i="1"/>
  <c r="R187" i="1" s="1"/>
  <c r="L188" i="1"/>
  <c r="R188" i="1" s="1"/>
  <c r="L189" i="1"/>
  <c r="R189" i="1" s="1"/>
  <c r="L190" i="1"/>
  <c r="R190" i="1" s="1"/>
  <c r="L191" i="1"/>
  <c r="R191" i="1" s="1"/>
  <c r="L192" i="1"/>
  <c r="R192" i="1" s="1"/>
  <c r="L193" i="1"/>
  <c r="R193" i="1" s="1"/>
  <c r="L194" i="1"/>
  <c r="R194" i="1" s="1"/>
  <c r="L195" i="1"/>
  <c r="R195" i="1" s="1"/>
  <c r="L196" i="1"/>
  <c r="R196" i="1" s="1"/>
  <c r="L197" i="1"/>
  <c r="R197" i="1" s="1"/>
  <c r="L198" i="1"/>
  <c r="R198" i="1" s="1"/>
  <c r="L199" i="1"/>
  <c r="R199" i="1" s="1"/>
  <c r="L200" i="1"/>
  <c r="R200" i="1" s="1"/>
  <c r="L201" i="1"/>
  <c r="R201" i="1" s="1"/>
  <c r="L202" i="1"/>
  <c r="R202" i="1" s="1"/>
  <c r="L203" i="1"/>
  <c r="R203" i="1" s="1"/>
  <c r="L204" i="1"/>
  <c r="R204" i="1" s="1"/>
  <c r="L205" i="1"/>
  <c r="R205" i="1" s="1"/>
  <c r="L206" i="1"/>
  <c r="R206" i="1" s="1"/>
  <c r="L207" i="1"/>
  <c r="R207" i="1" s="1"/>
  <c r="L208" i="1"/>
  <c r="R208" i="1" s="1"/>
  <c r="L209" i="1"/>
  <c r="R209" i="1" s="1"/>
  <c r="L210" i="1"/>
  <c r="R210" i="1" s="1"/>
  <c r="L211" i="1"/>
  <c r="R211" i="1" s="1"/>
  <c r="L212" i="1"/>
  <c r="R212" i="1" s="1"/>
  <c r="L213" i="1"/>
  <c r="R213" i="1" s="1"/>
  <c r="L214" i="1"/>
  <c r="R214" i="1" s="1"/>
  <c r="L215" i="1"/>
  <c r="R215" i="1" s="1"/>
  <c r="I12" i="1"/>
  <c r="L12" i="1" s="1"/>
  <c r="I13" i="1"/>
  <c r="L13" i="1" s="1"/>
  <c r="R13" i="1" s="1"/>
  <c r="I14" i="1"/>
  <c r="L14" i="1" s="1"/>
  <c r="R14" i="1" s="1"/>
  <c r="I15" i="1"/>
  <c r="L15" i="1" s="1"/>
  <c r="R15" i="1" s="1"/>
  <c r="I16" i="1"/>
  <c r="L16" i="1" s="1"/>
  <c r="R16" i="1" s="1"/>
  <c r="I17" i="1"/>
  <c r="L17" i="1" s="1"/>
  <c r="R17" i="1" s="1"/>
  <c r="I18" i="1"/>
  <c r="L18" i="1" s="1"/>
  <c r="R18" i="1" s="1"/>
  <c r="I19" i="1"/>
  <c r="L19" i="1" s="1"/>
  <c r="R19" i="1" s="1"/>
  <c r="I20" i="1"/>
  <c r="L20" i="1" s="1"/>
  <c r="R20" i="1" s="1"/>
  <c r="I21" i="1"/>
  <c r="L21" i="1" s="1"/>
  <c r="R21" i="1" s="1"/>
  <c r="I22" i="1"/>
  <c r="L22" i="1" s="1"/>
  <c r="R22" i="1" s="1"/>
  <c r="I23" i="1"/>
  <c r="L23" i="1" s="1"/>
  <c r="R23" i="1" s="1"/>
  <c r="I24" i="1"/>
  <c r="L24" i="1" s="1"/>
  <c r="R24" i="1" s="1"/>
  <c r="I25" i="1"/>
  <c r="L25" i="1" s="1"/>
  <c r="R25" i="1" s="1"/>
  <c r="I26" i="1"/>
  <c r="L26" i="1" s="1"/>
  <c r="R26" i="1" s="1"/>
  <c r="I27" i="1"/>
  <c r="L27" i="1" s="1"/>
  <c r="R27" i="1" s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L11" i="1"/>
  <c r="R11" i="1" s="1"/>
  <c r="I235" i="1" l="1"/>
  <c r="I226" i="1"/>
  <c r="I236" i="1"/>
  <c r="I237" i="1"/>
  <c r="I227" i="1"/>
  <c r="I238" i="1"/>
  <c r="I228" i="1"/>
  <c r="I229" i="1"/>
  <c r="I239" i="1"/>
  <c r="I230" i="1"/>
  <c r="I241" i="1"/>
  <c r="I242" i="1"/>
  <c r="I232" i="1"/>
  <c r="I233" i="1"/>
  <c r="I243" i="1"/>
  <c r="I240" i="1"/>
  <c r="I231" i="1"/>
  <c r="I234" i="1"/>
  <c r="I224" i="1"/>
  <c r="I225" i="1"/>
  <c r="R12" i="1"/>
  <c r="P105" i="1" s="1"/>
  <c r="S105" i="1" s="1"/>
  <c r="A105" i="1" s="1"/>
  <c r="P11" i="1"/>
  <c r="P134" i="1"/>
  <c r="S134" i="1" s="1"/>
  <c r="A134" i="1" s="1"/>
  <c r="P14" i="1"/>
  <c r="S14" i="1" s="1"/>
  <c r="A14" i="1" s="1"/>
  <c r="P79" i="1"/>
  <c r="S79" i="1" s="1"/>
  <c r="A79" i="1" s="1"/>
  <c r="P110" i="1"/>
  <c r="S110" i="1" s="1"/>
  <c r="A110" i="1" s="1"/>
  <c r="P18" i="1"/>
  <c r="S18" i="1" s="1"/>
  <c r="A18" i="1" s="1"/>
  <c r="P98" i="1"/>
  <c r="S98" i="1" s="1"/>
  <c r="A98" i="1" s="1"/>
  <c r="P96" i="1" l="1"/>
  <c r="S96" i="1" s="1"/>
  <c r="A96" i="1" s="1"/>
  <c r="P40" i="1"/>
  <c r="S40" i="1" s="1"/>
  <c r="A40" i="1" s="1"/>
  <c r="P179" i="1"/>
  <c r="S179" i="1" s="1"/>
  <c r="A179" i="1" s="1"/>
  <c r="P54" i="1"/>
  <c r="S54" i="1" s="1"/>
  <c r="A54" i="1" s="1"/>
  <c r="P180" i="1"/>
  <c r="S180" i="1" s="1"/>
  <c r="A180" i="1" s="1"/>
  <c r="P207" i="1"/>
  <c r="S207" i="1" s="1"/>
  <c r="A207" i="1" s="1"/>
  <c r="P140" i="1"/>
  <c r="S140" i="1" s="1"/>
  <c r="A140" i="1" s="1"/>
  <c r="P55" i="1"/>
  <c r="S55" i="1" s="1"/>
  <c r="A55" i="1" s="1"/>
  <c r="P108" i="1"/>
  <c r="S108" i="1" s="1"/>
  <c r="A108" i="1" s="1"/>
  <c r="P42" i="1"/>
  <c r="S42" i="1" s="1"/>
  <c r="A42" i="1" s="1"/>
  <c r="P152" i="1"/>
  <c r="S152" i="1" s="1"/>
  <c r="A152" i="1" s="1"/>
  <c r="P121" i="1"/>
  <c r="S121" i="1" s="1"/>
  <c r="A121" i="1" s="1"/>
  <c r="P195" i="1"/>
  <c r="S195" i="1" s="1"/>
  <c r="A195" i="1" s="1"/>
  <c r="P97" i="1"/>
  <c r="S97" i="1" s="1"/>
  <c r="A97" i="1" s="1"/>
  <c r="P170" i="1"/>
  <c r="S170" i="1" s="1"/>
  <c r="A170" i="1" s="1"/>
  <c r="P209" i="1"/>
  <c r="S209" i="1" s="1"/>
  <c r="A209" i="1" s="1"/>
  <c r="P87" i="1"/>
  <c r="S87" i="1" s="1"/>
  <c r="A87" i="1" s="1"/>
  <c r="P211" i="1"/>
  <c r="S211" i="1" s="1"/>
  <c r="A211" i="1" s="1"/>
  <c r="P177" i="1"/>
  <c r="S177" i="1" s="1"/>
  <c r="A177" i="1" s="1"/>
  <c r="P149" i="1"/>
  <c r="S149" i="1" s="1"/>
  <c r="A149" i="1" s="1"/>
  <c r="P58" i="1"/>
  <c r="S58" i="1" s="1"/>
  <c r="A58" i="1" s="1"/>
  <c r="P25" i="1"/>
  <c r="S25" i="1" s="1"/>
  <c r="A25" i="1" s="1"/>
  <c r="P199" i="1"/>
  <c r="S199" i="1" s="1"/>
  <c r="A199" i="1" s="1"/>
  <c r="P168" i="1"/>
  <c r="S168" i="1" s="1"/>
  <c r="A168" i="1" s="1"/>
  <c r="P49" i="1"/>
  <c r="S49" i="1" s="1"/>
  <c r="A49" i="1" s="1"/>
  <c r="P198" i="1"/>
  <c r="S198" i="1" s="1"/>
  <c r="A198" i="1" s="1"/>
  <c r="P85" i="1"/>
  <c r="S85" i="1" s="1"/>
  <c r="A85" i="1" s="1"/>
  <c r="P81" i="1"/>
  <c r="S81" i="1" s="1"/>
  <c r="A81" i="1" s="1"/>
  <c r="P77" i="1"/>
  <c r="S77" i="1" s="1"/>
  <c r="A77" i="1" s="1"/>
  <c r="P148" i="1"/>
  <c r="S148" i="1" s="1"/>
  <c r="A148" i="1" s="1"/>
  <c r="P21" i="1"/>
  <c r="S21" i="1" s="1"/>
  <c r="A21" i="1" s="1"/>
  <c r="P107" i="1"/>
  <c r="S107" i="1" s="1"/>
  <c r="A107" i="1" s="1"/>
  <c r="P132" i="1"/>
  <c r="S132" i="1" s="1"/>
  <c r="A132" i="1" s="1"/>
  <c r="P45" i="1"/>
  <c r="S45" i="1" s="1"/>
  <c r="A45" i="1" s="1"/>
  <c r="P190" i="1"/>
  <c r="S190" i="1" s="1"/>
  <c r="A190" i="1" s="1"/>
  <c r="P13" i="1"/>
  <c r="S13" i="1" s="1"/>
  <c r="A13" i="1" s="1"/>
  <c r="P37" i="1"/>
  <c r="S37" i="1" s="1"/>
  <c r="A37" i="1" s="1"/>
  <c r="P52" i="1"/>
  <c r="S52" i="1" s="1"/>
  <c r="A52" i="1" s="1"/>
  <c r="P104" i="1"/>
  <c r="S104" i="1" s="1"/>
  <c r="A104" i="1" s="1"/>
  <c r="P175" i="1"/>
  <c r="S175" i="1" s="1"/>
  <c r="A175" i="1" s="1"/>
  <c r="P76" i="1"/>
  <c r="S76" i="1" s="1"/>
  <c r="A76" i="1" s="1"/>
  <c r="P147" i="1"/>
  <c r="S147" i="1" s="1"/>
  <c r="A147" i="1" s="1"/>
  <c r="P48" i="1"/>
  <c r="S48" i="1" s="1"/>
  <c r="A48" i="1" s="1"/>
  <c r="P210" i="1"/>
  <c r="S210" i="1" s="1"/>
  <c r="A210" i="1" s="1"/>
  <c r="P64" i="1"/>
  <c r="S64" i="1" s="1"/>
  <c r="A64" i="1" s="1"/>
  <c r="P160" i="1"/>
  <c r="S160" i="1" s="1"/>
  <c r="A160" i="1" s="1"/>
  <c r="P213" i="1"/>
  <c r="S213" i="1" s="1"/>
  <c r="A213" i="1" s="1"/>
  <c r="P36" i="1"/>
  <c r="S36" i="1" s="1"/>
  <c r="A36" i="1" s="1"/>
  <c r="P101" i="1"/>
  <c r="S101" i="1" s="1"/>
  <c r="A101" i="1" s="1"/>
  <c r="P203" i="1"/>
  <c r="S203" i="1" s="1"/>
  <c r="A203" i="1" s="1"/>
  <c r="P73" i="1"/>
  <c r="S73" i="1" s="1"/>
  <c r="A73" i="1" s="1"/>
  <c r="P119" i="1"/>
  <c r="S119" i="1" s="1"/>
  <c r="A119" i="1" s="1"/>
  <c r="P20" i="1"/>
  <c r="S20" i="1" s="1"/>
  <c r="A20" i="1" s="1"/>
  <c r="P115" i="1"/>
  <c r="S115" i="1" s="1"/>
  <c r="A115" i="1" s="1"/>
  <c r="P91" i="1"/>
  <c r="S91" i="1" s="1"/>
  <c r="A91" i="1" s="1"/>
  <c r="P154" i="1"/>
  <c r="S154" i="1" s="1"/>
  <c r="A154" i="1" s="1"/>
  <c r="P142" i="1"/>
  <c r="S142" i="1" s="1"/>
  <c r="A142" i="1" s="1"/>
  <c r="P204" i="1"/>
  <c r="S204" i="1" s="1"/>
  <c r="A204" i="1" s="1"/>
  <c r="P191" i="1"/>
  <c r="S191" i="1" s="1"/>
  <c r="A191" i="1" s="1"/>
  <c r="P92" i="1"/>
  <c r="S92" i="1" s="1"/>
  <c r="A92" i="1" s="1"/>
  <c r="P188" i="1"/>
  <c r="S188" i="1" s="1"/>
  <c r="A188" i="1" s="1"/>
  <c r="P106" i="1"/>
  <c r="S106" i="1" s="1"/>
  <c r="A106" i="1" s="1"/>
  <c r="P63" i="1"/>
  <c r="S63" i="1" s="1"/>
  <c r="A63" i="1" s="1"/>
  <c r="P159" i="1"/>
  <c r="S159" i="1" s="1"/>
  <c r="A159" i="1" s="1"/>
  <c r="P156" i="1"/>
  <c r="S156" i="1" s="1"/>
  <c r="A156" i="1" s="1"/>
  <c r="P61" i="1"/>
  <c r="S61" i="1" s="1"/>
  <c r="A61" i="1" s="1"/>
  <c r="P131" i="1"/>
  <c r="S131" i="1" s="1"/>
  <c r="A131" i="1" s="1"/>
  <c r="P100" i="1"/>
  <c r="S100" i="1" s="1"/>
  <c r="A100" i="1" s="1"/>
  <c r="P33" i="1"/>
  <c r="S33" i="1" s="1"/>
  <c r="A33" i="1" s="1"/>
  <c r="P103" i="1"/>
  <c r="S103" i="1" s="1"/>
  <c r="A103" i="1" s="1"/>
  <c r="P72" i="1"/>
  <c r="S72" i="1" s="1"/>
  <c r="A72" i="1" s="1"/>
  <c r="P194" i="1"/>
  <c r="S194" i="1" s="1"/>
  <c r="A194" i="1" s="1"/>
  <c r="P93" i="1"/>
  <c r="S93" i="1" s="1"/>
  <c r="A93" i="1" s="1"/>
  <c r="P138" i="1"/>
  <c r="S138" i="1" s="1"/>
  <c r="A138" i="1" s="1"/>
  <c r="P65" i="1"/>
  <c r="S65" i="1" s="1"/>
  <c r="A65" i="1" s="1"/>
  <c r="P200" i="1"/>
  <c r="S200" i="1" s="1"/>
  <c r="A200" i="1" s="1"/>
  <c r="P75" i="1"/>
  <c r="S75" i="1" s="1"/>
  <c r="A75" i="1" s="1"/>
  <c r="P44" i="1"/>
  <c r="S44" i="1" s="1"/>
  <c r="A44" i="1" s="1"/>
  <c r="P60" i="1"/>
  <c r="S60" i="1" s="1"/>
  <c r="A60" i="1" s="1"/>
  <c r="P47" i="1"/>
  <c r="S47" i="1" s="1"/>
  <c r="A47" i="1" s="1"/>
  <c r="P32" i="1"/>
  <c r="S32" i="1" s="1"/>
  <c r="A32" i="1" s="1"/>
  <c r="P19" i="1"/>
  <c r="S19" i="1" s="1"/>
  <c r="A19" i="1" s="1"/>
  <c r="P171" i="1"/>
  <c r="S171" i="1" s="1"/>
  <c r="A171" i="1" s="1"/>
  <c r="P172" i="1"/>
  <c r="S172" i="1" s="1"/>
  <c r="A172" i="1" s="1"/>
  <c r="P125" i="1"/>
  <c r="S125" i="1" s="1"/>
  <c r="A125" i="1" s="1"/>
  <c r="P185" i="1"/>
  <c r="S185" i="1" s="1"/>
  <c r="A185" i="1" s="1"/>
  <c r="P126" i="1"/>
  <c r="S126" i="1" s="1"/>
  <c r="A126" i="1" s="1"/>
  <c r="P116" i="1"/>
  <c r="S116" i="1" s="1"/>
  <c r="A116" i="1" s="1"/>
  <c r="P68" i="1"/>
  <c r="S68" i="1" s="1"/>
  <c r="A68" i="1" s="1"/>
  <c r="P157" i="1"/>
  <c r="S157" i="1" s="1"/>
  <c r="A157" i="1" s="1"/>
  <c r="P69" i="1"/>
  <c r="S69" i="1" s="1"/>
  <c r="A69" i="1" s="1"/>
  <c r="P88" i="1"/>
  <c r="S88" i="1" s="1"/>
  <c r="A88" i="1" s="1"/>
  <c r="P59" i="1"/>
  <c r="S59" i="1" s="1"/>
  <c r="A59" i="1" s="1"/>
  <c r="P129" i="1"/>
  <c r="S129" i="1" s="1"/>
  <c r="A129" i="1" s="1"/>
  <c r="P181" i="1"/>
  <c r="S181" i="1" s="1"/>
  <c r="A181" i="1" s="1"/>
  <c r="P137" i="1"/>
  <c r="S137" i="1" s="1"/>
  <c r="A137" i="1" s="1"/>
  <c r="P30" i="1"/>
  <c r="S30" i="1" s="1"/>
  <c r="A30" i="1" s="1"/>
  <c r="P197" i="1"/>
  <c r="S197" i="1" s="1"/>
  <c r="A197" i="1" s="1"/>
  <c r="P163" i="1"/>
  <c r="S163" i="1" s="1"/>
  <c r="A163" i="1" s="1"/>
  <c r="P56" i="1"/>
  <c r="S56" i="1" s="1"/>
  <c r="A56" i="1" s="1"/>
  <c r="P12" i="1"/>
  <c r="S12" i="1" s="1"/>
  <c r="P50" i="1"/>
  <c r="S50" i="1" s="1"/>
  <c r="A50" i="1" s="1"/>
  <c r="P111" i="1"/>
  <c r="S111" i="1" s="1"/>
  <c r="A111" i="1" s="1"/>
  <c r="P151" i="1"/>
  <c r="S151" i="1" s="1"/>
  <c r="A151" i="1" s="1"/>
  <c r="P35" i="1"/>
  <c r="S35" i="1" s="1"/>
  <c r="A35" i="1" s="1"/>
  <c r="P53" i="1"/>
  <c r="S53" i="1" s="1"/>
  <c r="A53" i="1" s="1"/>
  <c r="P86" i="1"/>
  <c r="S86" i="1" s="1"/>
  <c r="A86" i="1" s="1"/>
  <c r="P186" i="1"/>
  <c r="S186" i="1" s="1"/>
  <c r="A186" i="1" s="1"/>
  <c r="P141" i="1"/>
  <c r="S141" i="1" s="1"/>
  <c r="A141" i="1" s="1"/>
  <c r="P183" i="1"/>
  <c r="S183" i="1" s="1"/>
  <c r="A183" i="1" s="1"/>
  <c r="P123" i="1"/>
  <c r="S123" i="1" s="1"/>
  <c r="A123" i="1" s="1"/>
  <c r="P202" i="1"/>
  <c r="S202" i="1" s="1"/>
  <c r="A202" i="1" s="1"/>
  <c r="P41" i="1"/>
  <c r="S41" i="1" s="1"/>
  <c r="A41" i="1" s="1"/>
  <c r="P57" i="1"/>
  <c r="S57" i="1" s="1"/>
  <c r="A57" i="1" s="1"/>
  <c r="P158" i="1"/>
  <c r="S158" i="1" s="1"/>
  <c r="A158" i="1" s="1"/>
  <c r="P196" i="1"/>
  <c r="S196" i="1" s="1"/>
  <c r="A196" i="1" s="1"/>
  <c r="P155" i="1"/>
  <c r="S155" i="1" s="1"/>
  <c r="A155" i="1" s="1"/>
  <c r="P95" i="1"/>
  <c r="S95" i="1" s="1"/>
  <c r="A95" i="1" s="1"/>
  <c r="P174" i="1"/>
  <c r="S174" i="1" s="1"/>
  <c r="A174" i="1" s="1"/>
  <c r="P29" i="1"/>
  <c r="S29" i="1" s="1"/>
  <c r="A29" i="1" s="1"/>
  <c r="P166" i="1"/>
  <c r="S166" i="1" s="1"/>
  <c r="A166" i="1" s="1"/>
  <c r="P130" i="1"/>
  <c r="S130" i="1" s="1"/>
  <c r="A130" i="1" s="1"/>
  <c r="P27" i="1"/>
  <c r="S27" i="1" s="1"/>
  <c r="A27" i="1" s="1"/>
  <c r="P127" i="1"/>
  <c r="S127" i="1" s="1"/>
  <c r="A127" i="1" s="1"/>
  <c r="P67" i="1"/>
  <c r="S67" i="1" s="1"/>
  <c r="A67" i="1" s="1"/>
  <c r="P146" i="1"/>
  <c r="S146" i="1" s="1"/>
  <c r="A146" i="1" s="1"/>
  <c r="P70" i="1"/>
  <c r="S70" i="1" s="1"/>
  <c r="A70" i="1" s="1"/>
  <c r="P26" i="1"/>
  <c r="S26" i="1" s="1"/>
  <c r="A26" i="1" s="1"/>
  <c r="P102" i="1"/>
  <c r="S102" i="1" s="1"/>
  <c r="A102" i="1" s="1"/>
  <c r="P17" i="1"/>
  <c r="S17" i="1" s="1"/>
  <c r="A17" i="1" s="1"/>
  <c r="P99" i="1"/>
  <c r="S99" i="1" s="1"/>
  <c r="A99" i="1" s="1"/>
  <c r="P39" i="1"/>
  <c r="S39" i="1" s="1"/>
  <c r="A39" i="1" s="1"/>
  <c r="P118" i="1"/>
  <c r="S118" i="1" s="1"/>
  <c r="A118" i="1" s="1"/>
  <c r="P169" i="1"/>
  <c r="S169" i="1" s="1"/>
  <c r="A169" i="1" s="1"/>
  <c r="P165" i="1"/>
  <c r="S165" i="1" s="1"/>
  <c r="A165" i="1" s="1"/>
  <c r="P74" i="1"/>
  <c r="S74" i="1" s="1"/>
  <c r="A74" i="1" s="1"/>
  <c r="P16" i="1"/>
  <c r="S16" i="1" s="1"/>
  <c r="A16" i="1" s="1"/>
  <c r="P71" i="1"/>
  <c r="S71" i="1" s="1"/>
  <c r="A71" i="1" s="1"/>
  <c r="P206" i="1"/>
  <c r="S206" i="1" s="1"/>
  <c r="A206" i="1" s="1"/>
  <c r="P90" i="1"/>
  <c r="S90" i="1" s="1"/>
  <c r="A90" i="1" s="1"/>
  <c r="P28" i="1"/>
  <c r="S28" i="1" s="1"/>
  <c r="A28" i="1" s="1"/>
  <c r="P192" i="1"/>
  <c r="S192" i="1" s="1"/>
  <c r="A192" i="1" s="1"/>
  <c r="P46" i="1"/>
  <c r="S46" i="1" s="1"/>
  <c r="A46" i="1" s="1"/>
  <c r="P136" i="1"/>
  <c r="S136" i="1" s="1"/>
  <c r="A136" i="1" s="1"/>
  <c r="P43" i="1"/>
  <c r="S43" i="1" s="1"/>
  <c r="A43" i="1" s="1"/>
  <c r="P178" i="1"/>
  <c r="S178" i="1" s="1"/>
  <c r="A178" i="1" s="1"/>
  <c r="P201" i="1"/>
  <c r="S201" i="1" s="1"/>
  <c r="A201" i="1" s="1"/>
  <c r="P167" i="1"/>
  <c r="S167" i="1" s="1"/>
  <c r="A167" i="1" s="1"/>
  <c r="P164" i="1"/>
  <c r="S164" i="1" s="1"/>
  <c r="A164" i="1" s="1"/>
  <c r="P143" i="1"/>
  <c r="S143" i="1" s="1"/>
  <c r="A143" i="1" s="1"/>
  <c r="P23" i="1"/>
  <c r="S23" i="1" s="1"/>
  <c r="A23" i="1" s="1"/>
  <c r="P150" i="1"/>
  <c r="S150" i="1" s="1"/>
  <c r="A150" i="1" s="1"/>
  <c r="P173" i="1"/>
  <c r="S173" i="1" s="1"/>
  <c r="A173" i="1" s="1"/>
  <c r="P193" i="1"/>
  <c r="S193" i="1" s="1"/>
  <c r="A193" i="1" s="1"/>
  <c r="P51" i="1"/>
  <c r="S51" i="1" s="1"/>
  <c r="A51" i="1" s="1"/>
  <c r="P114" i="1"/>
  <c r="S114" i="1" s="1"/>
  <c r="A114" i="1" s="1"/>
  <c r="P78" i="1"/>
  <c r="S78" i="1" s="1"/>
  <c r="A78" i="1" s="1"/>
  <c r="P66" i="1"/>
  <c r="S66" i="1" s="1"/>
  <c r="A66" i="1" s="1"/>
  <c r="P145" i="1"/>
  <c r="S145" i="1" s="1"/>
  <c r="A145" i="1" s="1"/>
  <c r="P80" i="1"/>
  <c r="S80" i="1" s="1"/>
  <c r="A80" i="1" s="1"/>
  <c r="P162" i="1"/>
  <c r="S162" i="1" s="1"/>
  <c r="A162" i="1" s="1"/>
  <c r="P113" i="1"/>
  <c r="S113" i="1" s="1"/>
  <c r="A113" i="1" s="1"/>
  <c r="P161" i="1"/>
  <c r="S161" i="1" s="1"/>
  <c r="A161" i="1" s="1"/>
  <c r="P38" i="1"/>
  <c r="S38" i="1" s="1"/>
  <c r="A38" i="1" s="1"/>
  <c r="P117" i="1"/>
  <c r="S117" i="1" s="1"/>
  <c r="A117" i="1" s="1"/>
  <c r="P15" i="1"/>
  <c r="S15" i="1" s="1"/>
  <c r="A15" i="1" s="1"/>
  <c r="P215" i="1"/>
  <c r="S215" i="1" s="1"/>
  <c r="A215" i="1" s="1"/>
  <c r="P112" i="1"/>
  <c r="S112" i="1" s="1"/>
  <c r="A112" i="1" s="1"/>
  <c r="P212" i="1"/>
  <c r="S212" i="1" s="1"/>
  <c r="A212" i="1" s="1"/>
  <c r="P205" i="1"/>
  <c r="S205" i="1" s="1"/>
  <c r="A205" i="1" s="1"/>
  <c r="P89" i="1"/>
  <c r="S89" i="1" s="1"/>
  <c r="A89" i="1" s="1"/>
  <c r="P135" i="1"/>
  <c r="S135" i="1" s="1"/>
  <c r="A135" i="1" s="1"/>
  <c r="P187" i="1"/>
  <c r="S187" i="1" s="1"/>
  <c r="A187" i="1" s="1"/>
  <c r="P83" i="1"/>
  <c r="S83" i="1" s="1"/>
  <c r="A83" i="1" s="1"/>
  <c r="P184" i="1"/>
  <c r="S184" i="1" s="1"/>
  <c r="A184" i="1" s="1"/>
  <c r="P122" i="1"/>
  <c r="S122" i="1" s="1"/>
  <c r="A122" i="1" s="1"/>
  <c r="P62" i="1"/>
  <c r="S62" i="1" s="1"/>
  <c r="A62" i="1" s="1"/>
  <c r="P208" i="1"/>
  <c r="S208" i="1" s="1"/>
  <c r="A208" i="1" s="1"/>
  <c r="P84" i="1"/>
  <c r="S84" i="1" s="1"/>
  <c r="A84" i="1" s="1"/>
  <c r="P189" i="1"/>
  <c r="S189" i="1" s="1"/>
  <c r="A189" i="1" s="1"/>
  <c r="P153" i="1"/>
  <c r="S153" i="1" s="1"/>
  <c r="A153" i="1" s="1"/>
  <c r="P109" i="1"/>
  <c r="S109" i="1" s="1"/>
  <c r="A109" i="1" s="1"/>
  <c r="P94" i="1"/>
  <c r="S94" i="1" s="1"/>
  <c r="A94" i="1" s="1"/>
  <c r="P34" i="1"/>
  <c r="S34" i="1" s="1"/>
  <c r="A34" i="1" s="1"/>
  <c r="P31" i="1"/>
  <c r="S31" i="1" s="1"/>
  <c r="A31" i="1" s="1"/>
  <c r="P139" i="1"/>
  <c r="S139" i="1" s="1"/>
  <c r="A139" i="1" s="1"/>
  <c r="P214" i="1"/>
  <c r="S214" i="1" s="1"/>
  <c r="A214" i="1" s="1"/>
  <c r="P124" i="1"/>
  <c r="S124" i="1" s="1"/>
  <c r="A124" i="1" s="1"/>
  <c r="P24" i="1"/>
  <c r="S24" i="1" s="1"/>
  <c r="A24" i="1" s="1"/>
  <c r="P128" i="1"/>
  <c r="S128" i="1" s="1"/>
  <c r="A128" i="1" s="1"/>
  <c r="P120" i="1"/>
  <c r="S120" i="1" s="1"/>
  <c r="A120" i="1" s="1"/>
  <c r="P176" i="1"/>
  <c r="S176" i="1" s="1"/>
  <c r="A176" i="1" s="1"/>
  <c r="P144" i="1"/>
  <c r="S144" i="1" s="1"/>
  <c r="A144" i="1" s="1"/>
  <c r="P22" i="1"/>
  <c r="S22" i="1" s="1"/>
  <c r="A22" i="1" s="1"/>
  <c r="P133" i="1"/>
  <c r="S133" i="1" s="1"/>
  <c r="A133" i="1" s="1"/>
  <c r="P182" i="1"/>
  <c r="S182" i="1" s="1"/>
  <c r="A182" i="1" s="1"/>
  <c r="P82" i="1"/>
  <c r="S82" i="1" s="1"/>
  <c r="A82" i="1" s="1"/>
  <c r="H216" i="1"/>
  <c r="G216" i="1"/>
  <c r="F216" i="1"/>
  <c r="A12" i="1" l="1"/>
  <c r="I216" i="1"/>
  <c r="S11" i="1" l="1"/>
  <c r="J225" i="1" l="1"/>
  <c r="J235" i="1"/>
  <c r="J226" i="1"/>
  <c r="J236" i="1"/>
  <c r="J227" i="1"/>
  <c r="J238" i="1"/>
  <c r="J228" i="1"/>
  <c r="J229" i="1"/>
  <c r="J239" i="1"/>
  <c r="J230" i="1"/>
  <c r="J241" i="1"/>
  <c r="J231" i="1"/>
  <c r="J243" i="1"/>
  <c r="J224" i="1"/>
  <c r="J232" i="1"/>
  <c r="J240" i="1"/>
  <c r="J237" i="1"/>
  <c r="J234" i="1"/>
  <c r="J242" i="1"/>
  <c r="J233" i="1"/>
  <c r="A11" i="1"/>
  <c r="G238" i="1" l="1"/>
  <c r="E238" i="1"/>
  <c r="H238" i="1"/>
  <c r="D238" i="1"/>
  <c r="F238" i="1"/>
  <c r="E242" i="1"/>
  <c r="G242" i="1"/>
  <c r="D242" i="1"/>
  <c r="H242" i="1"/>
  <c r="F242" i="1"/>
  <c r="G231" i="1"/>
  <c r="D231" i="1"/>
  <c r="E231" i="1"/>
  <c r="F231" i="1"/>
  <c r="H231" i="1"/>
  <c r="D226" i="1"/>
  <c r="H226" i="1"/>
  <c r="G226" i="1"/>
  <c r="F226" i="1"/>
  <c r="E226" i="1"/>
  <c r="D237" i="1"/>
  <c r="H237" i="1"/>
  <c r="E237" i="1"/>
  <c r="G237" i="1"/>
  <c r="F237" i="1"/>
  <c r="G224" i="1"/>
  <c r="F224" i="1"/>
  <c r="E224" i="1"/>
  <c r="D224" i="1"/>
  <c r="H224" i="1"/>
  <c r="H241" i="1"/>
  <c r="E241" i="1"/>
  <c r="F241" i="1"/>
  <c r="D241" i="1"/>
  <c r="G241" i="1"/>
  <c r="G236" i="1"/>
  <c r="D236" i="1"/>
  <c r="E236" i="1"/>
  <c r="H236" i="1"/>
  <c r="F236" i="1"/>
  <c r="G234" i="1"/>
  <c r="D234" i="1"/>
  <c r="E234" i="1"/>
  <c r="H234" i="1"/>
  <c r="F234" i="1"/>
  <c r="G232" i="1"/>
  <c r="H232" i="1"/>
  <c r="F232" i="1"/>
  <c r="D232" i="1"/>
  <c r="E232" i="1"/>
  <c r="G230" i="1"/>
  <c r="H230" i="1"/>
  <c r="E230" i="1"/>
  <c r="F230" i="1"/>
  <c r="D230" i="1"/>
  <c r="G239" i="1"/>
  <c r="F239" i="1"/>
  <c r="H239" i="1"/>
  <c r="D239" i="1"/>
  <c r="E239" i="1"/>
  <c r="E228" i="1"/>
  <c r="G228" i="1"/>
  <c r="F228" i="1"/>
  <c r="D228" i="1"/>
  <c r="H228" i="1"/>
  <c r="G233" i="1"/>
  <c r="D233" i="1"/>
  <c r="F233" i="1"/>
  <c r="H233" i="1"/>
  <c r="E233" i="1"/>
  <c r="D240" i="1"/>
  <c r="G240" i="1"/>
  <c r="F240" i="1"/>
  <c r="E240" i="1"/>
  <c r="H240" i="1"/>
  <c r="H243" i="1"/>
  <c r="G243" i="1"/>
  <c r="D243" i="1"/>
  <c r="E243" i="1"/>
  <c r="F243" i="1"/>
  <c r="F229" i="1"/>
  <c r="G229" i="1"/>
  <c r="D229" i="1"/>
  <c r="E229" i="1"/>
  <c r="H229" i="1"/>
  <c r="G227" i="1"/>
  <c r="F227" i="1"/>
  <c r="D227" i="1"/>
  <c r="E227" i="1"/>
  <c r="H227" i="1"/>
  <c r="G235" i="1"/>
  <c r="H235" i="1"/>
  <c r="D235" i="1"/>
  <c r="E235" i="1"/>
  <c r="F235" i="1"/>
  <c r="G225" i="1"/>
  <c r="H225" i="1"/>
  <c r="E225" i="1"/>
  <c r="D225" i="1"/>
  <c r="F225" i="1"/>
</calcChain>
</file>

<file path=xl/sharedStrings.xml><?xml version="1.0" encoding="utf-8"?>
<sst xmlns="http://schemas.openxmlformats.org/spreadsheetml/2006/main" count="39" uniqueCount="38">
  <si>
    <t xml:space="preserve">Instiution Code </t>
  </si>
  <si>
    <t>Financial Year</t>
  </si>
  <si>
    <t>Start Date</t>
  </si>
  <si>
    <t>End Date</t>
  </si>
  <si>
    <t>(In millions of Birr)</t>
  </si>
  <si>
    <t>Name of Counterparty*</t>
  </si>
  <si>
    <t>Type of Exposure</t>
  </si>
  <si>
    <t>Sector of Exposure</t>
  </si>
  <si>
    <t>Approved Limit/Facility</t>
  </si>
  <si>
    <t>Exposure Amount/ Outstanding Balance (on-balance sheet)</t>
  </si>
  <si>
    <t>Off-balance Sheet Exposure Amount (e.g. guarantee)</t>
  </si>
  <si>
    <t>Maturity Date</t>
  </si>
  <si>
    <t>Status (classification)</t>
  </si>
  <si>
    <t>Collateral</t>
  </si>
  <si>
    <t>A</t>
  </si>
  <si>
    <t>B</t>
  </si>
  <si>
    <t>Type</t>
  </si>
  <si>
    <t>Estimated
/Face value</t>
  </si>
  <si>
    <t>Total</t>
  </si>
  <si>
    <t>Note:</t>
  </si>
  <si>
    <t>*Classification shall be reported in line with relevant Asset Classification and Provisioning Directive of the National Bank</t>
  </si>
  <si>
    <t>Capital</t>
  </si>
  <si>
    <t>Pass</t>
  </si>
  <si>
    <t>Loss</t>
  </si>
  <si>
    <t>Capital of the Bank</t>
  </si>
  <si>
    <t>Status (Classification)</t>
  </si>
  <si>
    <t xml:space="preserve">Percent of Capital (M=L/B*100)
</t>
  </si>
  <si>
    <t>Special Mention</t>
  </si>
  <si>
    <t xml:space="preserve">Substandard </t>
  </si>
  <si>
    <t>Doubtful</t>
  </si>
  <si>
    <t>C=A+B</t>
  </si>
  <si>
    <t>Total Outstanding Balance After Deduction Cash and Cash Equivalent</t>
  </si>
  <si>
    <t>Total Outstanding Balance</t>
  </si>
  <si>
    <t>Name of Counterparty</t>
  </si>
  <si>
    <t>S/N</t>
  </si>
  <si>
    <t>Exposure Amount (A+B) as Percent of Total Capital</t>
  </si>
  <si>
    <t xml:space="preserve">Monthly Return on Large Exposures
List of Counterparties that Exceed Ten Percent of the Bank’s Total Capital </t>
  </si>
  <si>
    <t>BOR_TEN_PER_LB002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</si>
</sst>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Tahoma"/>
      <family val="2"/>
    </font>
    <font>
      <i/>
      <sz val="9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ahoma"/>
      <family val="2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 style="medium">
        <color rgb="FFC00000"/>
      </top>
      <bottom/>
      <diagonal/>
    </border>
    <border>
      <left style="thin">
        <color auto="1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medium">
        <color rgb="FFC00000"/>
      </top>
      <bottom style="thin">
        <color auto="1"/>
      </bottom>
      <diagonal/>
    </border>
    <border>
      <left/>
      <right style="thin">
        <color auto="1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rgb="FFC00000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/>
      <bottom style="thin">
        <color auto="1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medium">
        <color rgb="FFC00000"/>
      </bottom>
      <diagonal/>
    </border>
    <border>
      <left/>
      <right style="thin">
        <color auto="1"/>
      </right>
      <top style="thin">
        <color auto="1"/>
      </top>
      <bottom style="medium">
        <color rgb="FFC00000"/>
      </bottom>
      <diagonal/>
    </border>
    <border>
      <left style="medium">
        <color rgb="FFC00000"/>
      </left>
      <right style="thin">
        <color auto="1"/>
      </right>
      <top/>
      <bottom style="thin">
        <color auto="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6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4" borderId="0" xfId="0" applyFill="1" applyBorder="1"/>
    <xf numFmtId="0" fontId="3" fillId="4" borderId="0" xfId="0" applyFont="1" applyFill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4" fillId="0" borderId="0" xfId="0" applyFont="1" applyAlignment="1">
      <alignment vertical="center"/>
    </xf>
    <xf numFmtId="0" fontId="4" fillId="0" borderId="0" xfId="0" applyFont="1"/>
    <xf numFmtId="43" fontId="0" fillId="0" borderId="1" xfId="1" applyFont="1" applyBorder="1"/>
    <xf numFmtId="0" fontId="9" fillId="4" borderId="1" xfId="0" applyFont="1" applyFill="1" applyBorder="1"/>
    <xf numFmtId="39" fontId="8" fillId="4" borderId="1" xfId="0" applyNumberFormat="1" applyFont="1" applyFill="1" applyBorder="1"/>
    <xf numFmtId="39" fontId="8" fillId="4" borderId="1" xfId="0" applyNumberFormat="1" applyFont="1" applyFill="1" applyBorder="1" applyAlignment="1">
      <alignment horizontal="center"/>
    </xf>
    <xf numFmtId="39" fontId="9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0" xfId="0" applyFont="1"/>
    <xf numFmtId="0" fontId="10" fillId="0" borderId="0" xfId="0" applyFont="1"/>
    <xf numFmtId="0" fontId="0" fillId="3" borderId="4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0" fillId="0" borderId="4" xfId="0" applyBorder="1"/>
    <xf numFmtId="43" fontId="0" fillId="0" borderId="4" xfId="1" applyFont="1" applyBorder="1"/>
    <xf numFmtId="14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/>
    <xf numFmtId="0" fontId="7" fillId="5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/>
    </xf>
    <xf numFmtId="39" fontId="9" fillId="0" borderId="4" xfId="0" applyNumberFormat="1" applyFont="1" applyBorder="1" applyAlignment="1">
      <alignment horizontal="center" vertical="top" wrapText="1"/>
    </xf>
    <xf numFmtId="39" fontId="9" fillId="0" borderId="1" xfId="0" applyNumberFormat="1" applyFont="1" applyBorder="1" applyAlignment="1">
      <alignment horizontal="center" vertical="top" wrapText="1"/>
    </xf>
    <xf numFmtId="2" fontId="12" fillId="0" borderId="4" xfId="1" applyNumberFormat="1" applyFont="1" applyBorder="1"/>
    <xf numFmtId="2" fontId="12" fillId="0" borderId="1" xfId="1" applyNumberFormat="1" applyFont="1" applyBorder="1"/>
    <xf numFmtId="0" fontId="6" fillId="5" borderId="1" xfId="0" applyFont="1" applyFill="1" applyBorder="1" applyAlignment="1">
      <alignment vertical="center"/>
    </xf>
    <xf numFmtId="0" fontId="8" fillId="6" borderId="1" xfId="0" applyFont="1" applyFill="1" applyBorder="1"/>
    <xf numFmtId="0" fontId="1" fillId="0" borderId="16" xfId="0" applyFont="1" applyBorder="1" applyAlignment="1">
      <alignment horizontal="center" wrapText="1"/>
    </xf>
    <xf numFmtId="0" fontId="0" fillId="0" borderId="18" xfId="0" applyBorder="1"/>
    <xf numFmtId="43" fontId="0" fillId="0" borderId="19" xfId="1" applyFont="1" applyBorder="1"/>
    <xf numFmtId="43" fontId="0" fillId="0" borderId="20" xfId="1" applyFont="1" applyBorder="1"/>
    <xf numFmtId="0" fontId="0" fillId="0" borderId="21" xfId="0" applyBorder="1"/>
    <xf numFmtId="0" fontId="0" fillId="0" borderId="22" xfId="0" applyBorder="1"/>
    <xf numFmtId="2" fontId="1" fillId="0" borderId="15" xfId="1" applyNumberFormat="1" applyFont="1" applyBorder="1"/>
    <xf numFmtId="2" fontId="12" fillId="0" borderId="15" xfId="1" applyNumberFormat="1" applyFont="1" applyBorder="1"/>
    <xf numFmtId="0" fontId="0" fillId="0" borderId="15" xfId="0" applyBorder="1"/>
    <xf numFmtId="43" fontId="0" fillId="0" borderId="15" xfId="1" applyFont="1" applyBorder="1"/>
    <xf numFmtId="2" fontId="1" fillId="0" borderId="15" xfId="0" applyNumberFormat="1" applyFont="1" applyBorder="1" applyAlignment="1">
      <alignment horizontal="center"/>
    </xf>
    <xf numFmtId="43" fontId="0" fillId="0" borderId="16" xfId="1" applyFont="1" applyBorder="1"/>
    <xf numFmtId="0" fontId="0" fillId="0" borderId="23" xfId="0" applyBorder="1"/>
    <xf numFmtId="0" fontId="1" fillId="0" borderId="22" xfId="0" applyFont="1" applyBorder="1" applyAlignment="1">
      <alignment horizontal="center"/>
    </xf>
    <xf numFmtId="0" fontId="13" fillId="0" borderId="0" xfId="0" applyFont="1"/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7"/>
  <sheetViews>
    <sheetView tabSelected="1" topLeftCell="B1" zoomScaleNormal="100" workbookViewId="0">
      <selection activeCell="C17" sqref="C17"/>
    </sheetView>
  </sheetViews>
  <sheetFormatPr defaultRowHeight="15" x14ac:dyDescent="0.25"/>
  <cols>
    <col min="1" max="1" width="12.28515625" hidden="1" customWidth="1"/>
    <col min="2" max="2" width="17.5703125" customWidth="1"/>
    <col min="3" max="3" width="22.7109375" customWidth="1"/>
    <col min="4" max="4" width="24.42578125" bestFit="1" customWidth="1"/>
    <col min="5" max="6" width="18.85546875" customWidth="1"/>
    <col min="7" max="7" width="20.42578125" customWidth="1"/>
    <col min="8" max="8" width="18.85546875" customWidth="1"/>
    <col min="9" max="9" width="13.28515625" customWidth="1"/>
    <col min="10" max="10" width="17.28515625" customWidth="1"/>
    <col min="11" max="11" width="14.85546875" customWidth="1"/>
    <col min="12" max="12" width="12" customWidth="1"/>
    <col min="13" max="13" width="9.85546875" customWidth="1"/>
    <col min="14" max="14" width="12" customWidth="1"/>
    <col min="15" max="15" width="12.7109375" customWidth="1"/>
    <col min="16" max="16" width="16.5703125" hidden="1" customWidth="1"/>
    <col min="17" max="17" width="16.85546875" hidden="1" customWidth="1"/>
    <col min="18" max="18" width="7.7109375" hidden="1" customWidth="1"/>
    <col min="19" max="19" width="0.85546875" customWidth="1"/>
  </cols>
  <sheetData>
    <row r="1" spans="1:19" x14ac:dyDescent="0.25">
      <c r="A1" s="50" t="s">
        <v>37</v>
      </c>
    </row>
    <row r="3" spans="1:19" ht="15.75" thickBot="1" x14ac:dyDescent="0.3"/>
    <row r="4" spans="1:19" ht="57.75" customHeight="1" thickBot="1" x14ac:dyDescent="0.4">
      <c r="A4" s="51" t="s">
        <v>36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</row>
    <row r="5" spans="1:19" x14ac:dyDescent="0.25">
      <c r="B5" s="18" t="s">
        <v>0</v>
      </c>
      <c r="C5" s="18"/>
    </row>
    <row r="6" spans="1:19" x14ac:dyDescent="0.25">
      <c r="B6" s="1" t="s">
        <v>1</v>
      </c>
      <c r="C6" s="1"/>
    </row>
    <row r="7" spans="1:19" x14ac:dyDescent="0.25">
      <c r="B7" s="1" t="s">
        <v>2</v>
      </c>
      <c r="C7" s="1"/>
    </row>
    <row r="8" spans="1:19" ht="15.75" thickBot="1" x14ac:dyDescent="0.3">
      <c r="B8" s="2" t="s">
        <v>3</v>
      </c>
      <c r="C8" s="2"/>
      <c r="I8" s="3"/>
      <c r="J8" s="6"/>
      <c r="K8" s="4"/>
      <c r="L8" s="5" t="s">
        <v>4</v>
      </c>
      <c r="M8" s="4"/>
      <c r="N8" s="6"/>
    </row>
    <row r="9" spans="1:19" ht="64.5" customHeight="1" x14ac:dyDescent="0.25">
      <c r="B9" s="62" t="s">
        <v>34</v>
      </c>
      <c r="C9" s="64" t="s">
        <v>5</v>
      </c>
      <c r="D9" s="58" t="s">
        <v>6</v>
      </c>
      <c r="E9" s="54" t="s">
        <v>7</v>
      </c>
      <c r="F9" s="54" t="s">
        <v>8</v>
      </c>
      <c r="G9" s="28" t="s">
        <v>9</v>
      </c>
      <c r="H9" s="28" t="s">
        <v>10</v>
      </c>
      <c r="I9" s="28" t="s">
        <v>32</v>
      </c>
      <c r="J9" s="56" t="s">
        <v>11</v>
      </c>
      <c r="K9" s="58" t="s">
        <v>21</v>
      </c>
      <c r="L9" s="58" t="s">
        <v>35</v>
      </c>
      <c r="M9" s="58" t="s">
        <v>12</v>
      </c>
      <c r="N9" s="60" t="s">
        <v>13</v>
      </c>
      <c r="O9" s="61"/>
    </row>
    <row r="10" spans="1:19" ht="45" customHeight="1" thickBot="1" x14ac:dyDescent="0.3">
      <c r="B10" s="63"/>
      <c r="C10" s="65"/>
      <c r="D10" s="59"/>
      <c r="E10" s="55"/>
      <c r="F10" s="55"/>
      <c r="G10" s="29" t="s">
        <v>14</v>
      </c>
      <c r="H10" s="29" t="s">
        <v>15</v>
      </c>
      <c r="I10" s="29" t="s">
        <v>30</v>
      </c>
      <c r="J10" s="57"/>
      <c r="K10" s="59"/>
      <c r="L10" s="59"/>
      <c r="M10" s="59"/>
      <c r="N10" s="29" t="s">
        <v>16</v>
      </c>
      <c r="O10" s="36" t="s">
        <v>17</v>
      </c>
    </row>
    <row r="11" spans="1:19" ht="15.75" x14ac:dyDescent="0.25">
      <c r="A11">
        <f>S11</f>
        <v>0</v>
      </c>
      <c r="B11" s="48">
        <v>1</v>
      </c>
      <c r="C11" s="25"/>
      <c r="D11" s="24"/>
      <c r="E11" s="24"/>
      <c r="F11" s="22"/>
      <c r="G11" s="22"/>
      <c r="H11" s="22"/>
      <c r="I11" s="32">
        <f>G11+H11</f>
        <v>0</v>
      </c>
      <c r="J11" s="23"/>
      <c r="K11" s="22"/>
      <c r="L11" s="30">
        <f>IF(K11=0,0,I11/K11*100)</f>
        <v>0</v>
      </c>
      <c r="M11" s="21"/>
      <c r="N11" s="21"/>
      <c r="O11" s="38"/>
      <c r="P11" s="15" t="str">
        <f>IF(R11&lt;&gt;0,R11&amp;COUNTIF($R$11:R11,R11),0)</f>
        <v>01</v>
      </c>
      <c r="Q11" s="16" t="s">
        <v>22</v>
      </c>
      <c r="R11" s="15" t="str">
        <f>LEFT(L11,4)</f>
        <v>0</v>
      </c>
      <c r="S11" s="15">
        <f>IF(LEFT(P11,1)="0",0,VALUE(P11))</f>
        <v>0</v>
      </c>
    </row>
    <row r="12" spans="1:19" ht="15.75" x14ac:dyDescent="0.25">
      <c r="A12">
        <f t="shared" ref="A12:A75" si="0">S12</f>
        <v>0</v>
      </c>
      <c r="B12" s="37">
        <v>2</v>
      </c>
      <c r="C12" s="25"/>
      <c r="D12" s="24"/>
      <c r="E12" s="24"/>
      <c r="F12" s="22"/>
      <c r="G12" s="22"/>
      <c r="H12" s="22"/>
      <c r="I12" s="33">
        <f t="shared" ref="I12:I75" si="1">G12+H12</f>
        <v>0</v>
      </c>
      <c r="J12" s="23"/>
      <c r="K12" s="22"/>
      <c r="L12" s="31">
        <f t="shared" ref="L12:L75" si="2">IF(K12=0,0,I12/K12*100)</f>
        <v>0</v>
      </c>
      <c r="M12" s="21"/>
      <c r="N12" s="21"/>
      <c r="O12" s="38"/>
      <c r="P12" s="15" t="str">
        <f>IF(R12&lt;&gt;0,R12&amp;COUNTIF($R$11:R12,R12),0)</f>
        <v>02</v>
      </c>
      <c r="Q12" s="16" t="s">
        <v>27</v>
      </c>
      <c r="R12" s="16" t="str">
        <f t="shared" ref="R12:R75" si="3">LEFT(L12,4)</f>
        <v>0</v>
      </c>
      <c r="S12" s="15">
        <f>IF(LEFT(P12,1)="0",0,VALUE(P12))</f>
        <v>0</v>
      </c>
    </row>
    <row r="13" spans="1:19" ht="15.75" x14ac:dyDescent="0.25">
      <c r="A13">
        <f t="shared" si="0"/>
        <v>0</v>
      </c>
      <c r="B13" s="37">
        <v>3</v>
      </c>
      <c r="C13" s="25"/>
      <c r="D13" s="24"/>
      <c r="E13" s="24"/>
      <c r="F13" s="22"/>
      <c r="G13" s="22"/>
      <c r="H13" s="22"/>
      <c r="I13" s="33">
        <f t="shared" si="1"/>
        <v>0</v>
      </c>
      <c r="J13" s="23"/>
      <c r="K13" s="22"/>
      <c r="L13" s="31">
        <f t="shared" si="2"/>
        <v>0</v>
      </c>
      <c r="M13" s="21"/>
      <c r="N13" s="21"/>
      <c r="O13" s="38"/>
      <c r="P13" s="15" t="str">
        <f>IF(R13&lt;&gt;0,R13&amp;COUNTIF($R$11:R13,R13),0)</f>
        <v>03</v>
      </c>
      <c r="Q13" s="16" t="s">
        <v>28</v>
      </c>
      <c r="R13" s="16" t="str">
        <f t="shared" si="3"/>
        <v>0</v>
      </c>
      <c r="S13" s="15">
        <f t="shared" ref="S13:S75" si="4">IF(LEFT(P13,1)="0",0,VALUE(P13))</f>
        <v>0</v>
      </c>
    </row>
    <row r="14" spans="1:19" ht="15.75" x14ac:dyDescent="0.25">
      <c r="A14">
        <f t="shared" si="0"/>
        <v>0</v>
      </c>
      <c r="B14" s="37">
        <v>4</v>
      </c>
      <c r="C14" s="25"/>
      <c r="D14" s="24"/>
      <c r="E14" s="24"/>
      <c r="F14" s="22"/>
      <c r="G14" s="22"/>
      <c r="H14" s="22"/>
      <c r="I14" s="33">
        <f t="shared" si="1"/>
        <v>0</v>
      </c>
      <c r="J14" s="23"/>
      <c r="K14" s="22"/>
      <c r="L14" s="31">
        <f t="shared" si="2"/>
        <v>0</v>
      </c>
      <c r="M14" s="21"/>
      <c r="N14" s="21"/>
      <c r="O14" s="38"/>
      <c r="P14" s="15" t="str">
        <f>IF(R14&lt;&gt;0,R14&amp;COUNTIF($R$11:R14,R14),0)</f>
        <v>04</v>
      </c>
      <c r="Q14" s="16" t="s">
        <v>29</v>
      </c>
      <c r="R14" s="16" t="str">
        <f t="shared" si="3"/>
        <v>0</v>
      </c>
      <c r="S14" s="15">
        <f>IF(LEFT(P14,1)="0",0,VALUE(P14))</f>
        <v>0</v>
      </c>
    </row>
    <row r="15" spans="1:19" ht="15.75" x14ac:dyDescent="0.25">
      <c r="A15">
        <f t="shared" si="0"/>
        <v>0</v>
      </c>
      <c r="B15" s="37">
        <v>5</v>
      </c>
      <c r="C15" s="25"/>
      <c r="D15" s="24"/>
      <c r="E15" s="24"/>
      <c r="F15" s="22"/>
      <c r="G15" s="22"/>
      <c r="H15" s="22"/>
      <c r="I15" s="33">
        <f t="shared" si="1"/>
        <v>0</v>
      </c>
      <c r="J15" s="23"/>
      <c r="K15" s="22"/>
      <c r="L15" s="31">
        <f t="shared" si="2"/>
        <v>0</v>
      </c>
      <c r="M15" s="21"/>
      <c r="N15" s="21"/>
      <c r="O15" s="38"/>
      <c r="P15" s="15" t="str">
        <f>IF(R15&lt;&gt;0,R15&amp;COUNTIF($R$11:R15,R15),0)</f>
        <v>05</v>
      </c>
      <c r="Q15" s="16" t="s">
        <v>23</v>
      </c>
      <c r="R15" s="16" t="str">
        <f t="shared" si="3"/>
        <v>0</v>
      </c>
      <c r="S15" s="15">
        <f t="shared" si="4"/>
        <v>0</v>
      </c>
    </row>
    <row r="16" spans="1:19" ht="15.75" x14ac:dyDescent="0.25">
      <c r="A16">
        <f t="shared" si="0"/>
        <v>0</v>
      </c>
      <c r="B16" s="37">
        <v>6</v>
      </c>
      <c r="C16" s="25"/>
      <c r="D16" s="24"/>
      <c r="E16" s="24"/>
      <c r="F16" s="22"/>
      <c r="G16" s="22"/>
      <c r="H16" s="22"/>
      <c r="I16" s="33">
        <f t="shared" si="1"/>
        <v>0</v>
      </c>
      <c r="J16" s="23"/>
      <c r="K16" s="22"/>
      <c r="L16" s="31">
        <f t="shared" si="2"/>
        <v>0</v>
      </c>
      <c r="M16" s="21"/>
      <c r="N16" s="21"/>
      <c r="O16" s="38"/>
      <c r="P16" s="15" t="str">
        <f>IF(R16&lt;&gt;0,R16&amp;COUNTIF($R$11:R16,R16),0)</f>
        <v>06</v>
      </c>
      <c r="R16" s="16" t="str">
        <f t="shared" si="3"/>
        <v>0</v>
      </c>
      <c r="S16" s="15">
        <f t="shared" si="4"/>
        <v>0</v>
      </c>
    </row>
    <row r="17" spans="1:19" ht="15.75" x14ac:dyDescent="0.25">
      <c r="A17">
        <f t="shared" si="0"/>
        <v>0</v>
      </c>
      <c r="B17" s="37">
        <v>7</v>
      </c>
      <c r="C17" s="25"/>
      <c r="D17" s="24"/>
      <c r="E17" s="24"/>
      <c r="F17" s="22"/>
      <c r="G17" s="22"/>
      <c r="H17" s="22"/>
      <c r="I17" s="33">
        <f t="shared" si="1"/>
        <v>0</v>
      </c>
      <c r="J17" s="23"/>
      <c r="K17" s="22"/>
      <c r="L17" s="31">
        <f t="shared" si="2"/>
        <v>0</v>
      </c>
      <c r="M17" s="21"/>
      <c r="N17" s="21"/>
      <c r="O17" s="38"/>
      <c r="P17" s="15" t="str">
        <f>IF(R17&lt;&gt;0,R17&amp;COUNTIF($R$11:R17,R17),0)</f>
        <v>07</v>
      </c>
      <c r="R17" s="16" t="str">
        <f t="shared" si="3"/>
        <v>0</v>
      </c>
      <c r="S17" s="15">
        <f t="shared" si="4"/>
        <v>0</v>
      </c>
    </row>
    <row r="18" spans="1:19" ht="15.75" x14ac:dyDescent="0.25">
      <c r="A18">
        <f t="shared" si="0"/>
        <v>0</v>
      </c>
      <c r="B18" s="37">
        <v>8</v>
      </c>
      <c r="C18" s="25"/>
      <c r="D18" s="24"/>
      <c r="E18" s="24"/>
      <c r="F18" s="22"/>
      <c r="G18" s="22"/>
      <c r="H18" s="22"/>
      <c r="I18" s="33">
        <f t="shared" si="1"/>
        <v>0</v>
      </c>
      <c r="J18" s="23"/>
      <c r="K18" s="22"/>
      <c r="L18" s="31">
        <f t="shared" si="2"/>
        <v>0</v>
      </c>
      <c r="M18" s="21"/>
      <c r="N18" s="21"/>
      <c r="O18" s="38"/>
      <c r="P18" s="15" t="str">
        <f>IF(R18&lt;&gt;0,R18&amp;COUNTIF($R$11:R18,R18),0)</f>
        <v>08</v>
      </c>
      <c r="R18" s="16" t="str">
        <f t="shared" si="3"/>
        <v>0</v>
      </c>
      <c r="S18" s="15">
        <f t="shared" si="4"/>
        <v>0</v>
      </c>
    </row>
    <row r="19" spans="1:19" ht="15.75" x14ac:dyDescent="0.25">
      <c r="A19">
        <f t="shared" si="0"/>
        <v>0</v>
      </c>
      <c r="B19" s="37">
        <v>9</v>
      </c>
      <c r="C19" s="25"/>
      <c r="D19" s="24"/>
      <c r="E19" s="24"/>
      <c r="F19" s="22"/>
      <c r="G19" s="22"/>
      <c r="H19" s="22"/>
      <c r="I19" s="33">
        <f t="shared" si="1"/>
        <v>0</v>
      </c>
      <c r="J19" s="23"/>
      <c r="K19" s="22"/>
      <c r="L19" s="31">
        <f t="shared" si="2"/>
        <v>0</v>
      </c>
      <c r="M19" s="21"/>
      <c r="N19" s="21"/>
      <c r="O19" s="38"/>
      <c r="P19" s="15" t="str">
        <f>IF(R19&lt;&gt;0,R19&amp;COUNTIF($R$11:R19,R19),0)</f>
        <v>09</v>
      </c>
      <c r="R19" s="16" t="str">
        <f t="shared" si="3"/>
        <v>0</v>
      </c>
      <c r="S19" s="15">
        <f t="shared" si="4"/>
        <v>0</v>
      </c>
    </row>
    <row r="20" spans="1:19" ht="15.75" x14ac:dyDescent="0.25">
      <c r="A20">
        <f t="shared" si="0"/>
        <v>0</v>
      </c>
      <c r="B20" s="37">
        <v>10</v>
      </c>
      <c r="C20" s="25"/>
      <c r="D20" s="24"/>
      <c r="E20" s="24"/>
      <c r="F20" s="22"/>
      <c r="G20" s="22"/>
      <c r="H20" s="22"/>
      <c r="I20" s="33">
        <f t="shared" si="1"/>
        <v>0</v>
      </c>
      <c r="J20" s="23"/>
      <c r="K20" s="22"/>
      <c r="L20" s="31">
        <f t="shared" si="2"/>
        <v>0</v>
      </c>
      <c r="M20" s="21"/>
      <c r="N20" s="21"/>
      <c r="O20" s="38"/>
      <c r="P20" s="15" t="str">
        <f>IF(R20&lt;&gt;0,R20&amp;COUNTIF($R$11:R20,R20),0)</f>
        <v>010</v>
      </c>
      <c r="R20" s="16" t="str">
        <f t="shared" si="3"/>
        <v>0</v>
      </c>
      <c r="S20" s="15">
        <f t="shared" si="4"/>
        <v>0</v>
      </c>
    </row>
    <row r="21" spans="1:19" ht="15.75" x14ac:dyDescent="0.25">
      <c r="A21">
        <f t="shared" si="0"/>
        <v>0</v>
      </c>
      <c r="B21" s="37">
        <v>11</v>
      </c>
      <c r="C21" s="25"/>
      <c r="D21" s="24"/>
      <c r="E21" s="24"/>
      <c r="F21" s="22"/>
      <c r="G21" s="22"/>
      <c r="H21" s="22"/>
      <c r="I21" s="33">
        <f t="shared" si="1"/>
        <v>0</v>
      </c>
      <c r="J21" s="23"/>
      <c r="K21" s="22"/>
      <c r="L21" s="31">
        <f t="shared" si="2"/>
        <v>0</v>
      </c>
      <c r="M21" s="21"/>
      <c r="N21" s="21"/>
      <c r="O21" s="38"/>
      <c r="P21" s="15" t="str">
        <f>IF(R21&lt;&gt;0,R21&amp;COUNTIF($R$11:R21,R21),0)</f>
        <v>011</v>
      </c>
      <c r="R21" s="16" t="str">
        <f t="shared" si="3"/>
        <v>0</v>
      </c>
      <c r="S21" s="15">
        <f t="shared" si="4"/>
        <v>0</v>
      </c>
    </row>
    <row r="22" spans="1:19" ht="15.75" x14ac:dyDescent="0.25">
      <c r="A22">
        <f t="shared" si="0"/>
        <v>0</v>
      </c>
      <c r="B22" s="37">
        <v>12</v>
      </c>
      <c r="C22" s="25"/>
      <c r="D22" s="24"/>
      <c r="E22" s="24"/>
      <c r="F22" s="22"/>
      <c r="G22" s="22"/>
      <c r="H22" s="22"/>
      <c r="I22" s="33">
        <f t="shared" si="1"/>
        <v>0</v>
      </c>
      <c r="J22" s="23"/>
      <c r="K22" s="22"/>
      <c r="L22" s="31">
        <f t="shared" si="2"/>
        <v>0</v>
      </c>
      <c r="M22" s="21"/>
      <c r="N22" s="21"/>
      <c r="O22" s="38"/>
      <c r="P22" s="15" t="str">
        <f>IF(R22&lt;&gt;0,R22&amp;COUNTIF($R$11:R22,R22),0)</f>
        <v>012</v>
      </c>
      <c r="R22" s="16" t="str">
        <f t="shared" si="3"/>
        <v>0</v>
      </c>
      <c r="S22" s="15">
        <f t="shared" si="4"/>
        <v>0</v>
      </c>
    </row>
    <row r="23" spans="1:19" ht="15.75" x14ac:dyDescent="0.25">
      <c r="A23">
        <f t="shared" si="0"/>
        <v>0</v>
      </c>
      <c r="B23" s="37">
        <v>13</v>
      </c>
      <c r="C23" s="25"/>
      <c r="D23" s="24"/>
      <c r="E23" s="24"/>
      <c r="F23" s="22"/>
      <c r="G23" s="22"/>
      <c r="H23" s="22"/>
      <c r="I23" s="33">
        <f t="shared" si="1"/>
        <v>0</v>
      </c>
      <c r="J23" s="23"/>
      <c r="K23" s="22"/>
      <c r="L23" s="31">
        <f t="shared" si="2"/>
        <v>0</v>
      </c>
      <c r="M23" s="21"/>
      <c r="N23" s="21"/>
      <c r="O23" s="38"/>
      <c r="P23" s="15" t="str">
        <f>IF(R23&lt;&gt;0,R23&amp;COUNTIF($R$11:R23,R23),0)</f>
        <v>013</v>
      </c>
      <c r="R23" s="16" t="str">
        <f t="shared" si="3"/>
        <v>0</v>
      </c>
      <c r="S23" s="15">
        <f t="shared" si="4"/>
        <v>0</v>
      </c>
    </row>
    <row r="24" spans="1:19" ht="15.75" x14ac:dyDescent="0.25">
      <c r="A24">
        <f t="shared" si="0"/>
        <v>0</v>
      </c>
      <c r="B24" s="37">
        <v>14</v>
      </c>
      <c r="C24" s="25"/>
      <c r="D24" s="24"/>
      <c r="E24" s="24"/>
      <c r="F24" s="22"/>
      <c r="G24" s="22"/>
      <c r="H24" s="22"/>
      <c r="I24" s="33">
        <f t="shared" si="1"/>
        <v>0</v>
      </c>
      <c r="J24" s="23"/>
      <c r="K24" s="22"/>
      <c r="L24" s="31">
        <f t="shared" si="2"/>
        <v>0</v>
      </c>
      <c r="M24" s="21"/>
      <c r="N24" s="21"/>
      <c r="O24" s="38"/>
      <c r="P24" s="15" t="str">
        <f>IF(R24&lt;&gt;0,R24&amp;COUNTIF($R$11:R24,R24),0)</f>
        <v>014</v>
      </c>
      <c r="R24" s="16" t="str">
        <f t="shared" si="3"/>
        <v>0</v>
      </c>
      <c r="S24" s="15">
        <f t="shared" si="4"/>
        <v>0</v>
      </c>
    </row>
    <row r="25" spans="1:19" ht="15.75" x14ac:dyDescent="0.25">
      <c r="A25">
        <f t="shared" si="0"/>
        <v>0</v>
      </c>
      <c r="B25" s="37">
        <v>15</v>
      </c>
      <c r="C25" s="25"/>
      <c r="D25" s="24"/>
      <c r="E25" s="24"/>
      <c r="F25" s="22"/>
      <c r="G25" s="22"/>
      <c r="H25" s="22"/>
      <c r="I25" s="33">
        <f t="shared" si="1"/>
        <v>0</v>
      </c>
      <c r="J25" s="23"/>
      <c r="K25" s="22"/>
      <c r="L25" s="31">
        <f t="shared" si="2"/>
        <v>0</v>
      </c>
      <c r="M25" s="21"/>
      <c r="N25" s="21"/>
      <c r="O25" s="38"/>
      <c r="P25" s="15" t="str">
        <f>IF(R25&lt;&gt;0,R25&amp;COUNTIF($R$11:R25,R25),0)</f>
        <v>015</v>
      </c>
      <c r="R25" s="16" t="str">
        <f t="shared" si="3"/>
        <v>0</v>
      </c>
      <c r="S25" s="15">
        <f t="shared" si="4"/>
        <v>0</v>
      </c>
    </row>
    <row r="26" spans="1:19" ht="15.75" x14ac:dyDescent="0.25">
      <c r="A26">
        <f t="shared" si="0"/>
        <v>0</v>
      </c>
      <c r="B26" s="37">
        <v>16</v>
      </c>
      <c r="C26" s="25"/>
      <c r="D26" s="24"/>
      <c r="E26" s="24"/>
      <c r="F26" s="22"/>
      <c r="G26" s="22"/>
      <c r="H26" s="22"/>
      <c r="I26" s="33">
        <f t="shared" si="1"/>
        <v>0</v>
      </c>
      <c r="J26" s="23"/>
      <c r="K26" s="22"/>
      <c r="L26" s="31">
        <f t="shared" si="2"/>
        <v>0</v>
      </c>
      <c r="M26" s="21"/>
      <c r="N26" s="21"/>
      <c r="O26" s="38"/>
      <c r="P26" s="15" t="str">
        <f>IF(R26&lt;&gt;0,R26&amp;COUNTIF($R$11:R26,R26),0)</f>
        <v>016</v>
      </c>
      <c r="R26" s="16" t="str">
        <f t="shared" si="3"/>
        <v>0</v>
      </c>
      <c r="S26" s="15">
        <f t="shared" si="4"/>
        <v>0</v>
      </c>
    </row>
    <row r="27" spans="1:19" ht="15.75" x14ac:dyDescent="0.25">
      <c r="A27">
        <f t="shared" si="0"/>
        <v>0</v>
      </c>
      <c r="B27" s="37">
        <v>17</v>
      </c>
      <c r="C27" s="25"/>
      <c r="D27" s="24"/>
      <c r="E27" s="24"/>
      <c r="F27" s="22"/>
      <c r="G27" s="22"/>
      <c r="H27" s="22"/>
      <c r="I27" s="33">
        <f t="shared" si="1"/>
        <v>0</v>
      </c>
      <c r="J27" s="23"/>
      <c r="K27" s="22"/>
      <c r="L27" s="31">
        <f t="shared" si="2"/>
        <v>0</v>
      </c>
      <c r="M27" s="21"/>
      <c r="N27" s="21"/>
      <c r="O27" s="38"/>
      <c r="P27" s="15" t="str">
        <f>IF(R27&lt;&gt;0,R27&amp;COUNTIF($R$11:R27,R27),0)</f>
        <v>017</v>
      </c>
      <c r="R27" s="16" t="str">
        <f t="shared" si="3"/>
        <v>0</v>
      </c>
      <c r="S27" s="15">
        <f t="shared" si="4"/>
        <v>0</v>
      </c>
    </row>
    <row r="28" spans="1:19" ht="15.75" x14ac:dyDescent="0.25">
      <c r="A28">
        <f t="shared" si="0"/>
        <v>0</v>
      </c>
      <c r="B28" s="37">
        <v>18</v>
      </c>
      <c r="C28" s="25"/>
      <c r="D28" s="24"/>
      <c r="E28" s="24"/>
      <c r="F28" s="22"/>
      <c r="G28" s="22"/>
      <c r="H28" s="22"/>
      <c r="I28" s="33">
        <f t="shared" si="1"/>
        <v>0</v>
      </c>
      <c r="J28" s="23"/>
      <c r="K28" s="22"/>
      <c r="L28" s="31">
        <f t="shared" si="2"/>
        <v>0</v>
      </c>
      <c r="M28" s="21"/>
      <c r="N28" s="21"/>
      <c r="O28" s="38"/>
      <c r="P28" s="15" t="str">
        <f>IF(R28&lt;&gt;0,R28&amp;COUNTIF($R$11:R28,R28),0)</f>
        <v>018</v>
      </c>
      <c r="R28" s="16" t="str">
        <f t="shared" si="3"/>
        <v>0</v>
      </c>
      <c r="S28" s="15">
        <f t="shared" si="4"/>
        <v>0</v>
      </c>
    </row>
    <row r="29" spans="1:19" ht="15.75" x14ac:dyDescent="0.25">
      <c r="A29">
        <f t="shared" si="0"/>
        <v>0</v>
      </c>
      <c r="B29" s="37">
        <v>19</v>
      </c>
      <c r="C29" s="25"/>
      <c r="D29" s="24"/>
      <c r="E29" s="24"/>
      <c r="F29" s="22"/>
      <c r="G29" s="22"/>
      <c r="H29" s="22"/>
      <c r="I29" s="33">
        <f t="shared" si="1"/>
        <v>0</v>
      </c>
      <c r="J29" s="23"/>
      <c r="K29" s="22"/>
      <c r="L29" s="31">
        <f t="shared" si="2"/>
        <v>0</v>
      </c>
      <c r="M29" s="21"/>
      <c r="N29" s="21"/>
      <c r="O29" s="38"/>
      <c r="P29" s="15" t="str">
        <f>IF(R29&lt;&gt;0,R29&amp;COUNTIF($R$11:R29,R29),0)</f>
        <v>019</v>
      </c>
      <c r="R29" s="16" t="str">
        <f t="shared" si="3"/>
        <v>0</v>
      </c>
      <c r="S29" s="15">
        <f t="shared" si="4"/>
        <v>0</v>
      </c>
    </row>
    <row r="30" spans="1:19" ht="15.75" x14ac:dyDescent="0.25">
      <c r="A30">
        <f t="shared" si="0"/>
        <v>0</v>
      </c>
      <c r="B30" s="37">
        <v>20</v>
      </c>
      <c r="C30" s="25"/>
      <c r="D30" s="24"/>
      <c r="E30" s="24"/>
      <c r="F30" s="22"/>
      <c r="G30" s="22"/>
      <c r="H30" s="22"/>
      <c r="I30" s="33">
        <f t="shared" si="1"/>
        <v>0</v>
      </c>
      <c r="J30" s="23"/>
      <c r="K30" s="22"/>
      <c r="L30" s="31">
        <f t="shared" si="2"/>
        <v>0</v>
      </c>
      <c r="M30" s="21"/>
      <c r="N30" s="21"/>
      <c r="O30" s="38"/>
      <c r="P30" s="15" t="str">
        <f>IF(R30&lt;&gt;0,R30&amp;COUNTIF($R$11:R30,R30),0)</f>
        <v>020</v>
      </c>
      <c r="R30" s="16" t="str">
        <f t="shared" si="3"/>
        <v>0</v>
      </c>
      <c r="S30" s="15">
        <f t="shared" si="4"/>
        <v>0</v>
      </c>
    </row>
    <row r="31" spans="1:19" ht="15.75" x14ac:dyDescent="0.25">
      <c r="A31">
        <f t="shared" si="0"/>
        <v>0</v>
      </c>
      <c r="B31" s="37">
        <v>21</v>
      </c>
      <c r="C31" s="25"/>
      <c r="D31" s="24"/>
      <c r="E31" s="24"/>
      <c r="F31" s="22"/>
      <c r="G31" s="22"/>
      <c r="H31" s="22"/>
      <c r="I31" s="33">
        <f t="shared" si="1"/>
        <v>0</v>
      </c>
      <c r="J31" s="23"/>
      <c r="K31" s="22"/>
      <c r="L31" s="31">
        <f t="shared" si="2"/>
        <v>0</v>
      </c>
      <c r="M31" s="21"/>
      <c r="N31" s="21"/>
      <c r="O31" s="38"/>
      <c r="P31" s="15" t="str">
        <f>IF(R31&lt;&gt;0,R31&amp;COUNTIF($R$11:R31,R31),0)</f>
        <v>021</v>
      </c>
      <c r="R31" s="16" t="str">
        <f t="shared" si="3"/>
        <v>0</v>
      </c>
      <c r="S31" s="15">
        <f t="shared" si="4"/>
        <v>0</v>
      </c>
    </row>
    <row r="32" spans="1:19" ht="15.75" x14ac:dyDescent="0.25">
      <c r="A32">
        <f t="shared" si="0"/>
        <v>0</v>
      </c>
      <c r="B32" s="37">
        <v>22</v>
      </c>
      <c r="C32" s="25"/>
      <c r="D32" s="24"/>
      <c r="E32" s="24"/>
      <c r="F32" s="22"/>
      <c r="G32" s="22"/>
      <c r="H32" s="22"/>
      <c r="I32" s="33">
        <f t="shared" si="1"/>
        <v>0</v>
      </c>
      <c r="J32" s="23"/>
      <c r="K32" s="22"/>
      <c r="L32" s="31">
        <f t="shared" si="2"/>
        <v>0</v>
      </c>
      <c r="M32" s="21"/>
      <c r="N32" s="21"/>
      <c r="O32" s="38"/>
      <c r="P32" s="15" t="str">
        <f>IF(R32&lt;&gt;0,R32&amp;COUNTIF($R$11:R32,R32),0)</f>
        <v>022</v>
      </c>
      <c r="R32" s="16" t="str">
        <f t="shared" si="3"/>
        <v>0</v>
      </c>
      <c r="S32" s="15">
        <f t="shared" si="4"/>
        <v>0</v>
      </c>
    </row>
    <row r="33" spans="1:19" ht="15.75" x14ac:dyDescent="0.25">
      <c r="A33">
        <f t="shared" si="0"/>
        <v>0</v>
      </c>
      <c r="B33" s="37">
        <v>23</v>
      </c>
      <c r="C33" s="25"/>
      <c r="D33" s="24"/>
      <c r="E33" s="24"/>
      <c r="F33" s="22"/>
      <c r="G33" s="22"/>
      <c r="H33" s="22"/>
      <c r="I33" s="33">
        <f t="shared" si="1"/>
        <v>0</v>
      </c>
      <c r="J33" s="23"/>
      <c r="K33" s="22"/>
      <c r="L33" s="31">
        <f t="shared" si="2"/>
        <v>0</v>
      </c>
      <c r="M33" s="21"/>
      <c r="N33" s="21"/>
      <c r="O33" s="38"/>
      <c r="P33" s="15" t="str">
        <f>IF(R33&lt;&gt;0,R33&amp;COUNTIF($R$11:R33,R33),0)</f>
        <v>023</v>
      </c>
      <c r="R33" s="16" t="str">
        <f t="shared" si="3"/>
        <v>0</v>
      </c>
      <c r="S33" s="15">
        <f t="shared" si="4"/>
        <v>0</v>
      </c>
    </row>
    <row r="34" spans="1:19" ht="15.75" x14ac:dyDescent="0.25">
      <c r="A34">
        <f t="shared" si="0"/>
        <v>0</v>
      </c>
      <c r="B34" s="37">
        <v>24</v>
      </c>
      <c r="C34" s="25"/>
      <c r="D34" s="24"/>
      <c r="E34" s="24"/>
      <c r="F34" s="22"/>
      <c r="G34" s="22"/>
      <c r="H34" s="22"/>
      <c r="I34" s="33">
        <f t="shared" si="1"/>
        <v>0</v>
      </c>
      <c r="J34" s="23"/>
      <c r="K34" s="22"/>
      <c r="L34" s="31">
        <f t="shared" si="2"/>
        <v>0</v>
      </c>
      <c r="M34" s="21"/>
      <c r="N34" s="21"/>
      <c r="O34" s="38"/>
      <c r="P34" s="15" t="str">
        <f>IF(R34&lt;&gt;0,R34&amp;COUNTIF($R$11:R34,R34),0)</f>
        <v>024</v>
      </c>
      <c r="R34" s="16" t="str">
        <f t="shared" si="3"/>
        <v>0</v>
      </c>
      <c r="S34" s="15">
        <f t="shared" si="4"/>
        <v>0</v>
      </c>
    </row>
    <row r="35" spans="1:19" ht="15.75" x14ac:dyDescent="0.25">
      <c r="A35">
        <f t="shared" si="0"/>
        <v>0</v>
      </c>
      <c r="B35" s="37">
        <v>25</v>
      </c>
      <c r="C35" s="25"/>
      <c r="D35" s="24"/>
      <c r="E35" s="24"/>
      <c r="F35" s="22"/>
      <c r="G35" s="22"/>
      <c r="H35" s="22"/>
      <c r="I35" s="33">
        <f t="shared" si="1"/>
        <v>0</v>
      </c>
      <c r="J35" s="23"/>
      <c r="K35" s="22"/>
      <c r="L35" s="31">
        <f t="shared" si="2"/>
        <v>0</v>
      </c>
      <c r="M35" s="21"/>
      <c r="N35" s="21"/>
      <c r="O35" s="38"/>
      <c r="P35" s="15" t="str">
        <f>IF(R35&lt;&gt;0,R35&amp;COUNTIF($R$11:R35,R35),0)</f>
        <v>025</v>
      </c>
      <c r="R35" s="16" t="str">
        <f t="shared" si="3"/>
        <v>0</v>
      </c>
      <c r="S35" s="15">
        <f t="shared" si="4"/>
        <v>0</v>
      </c>
    </row>
    <row r="36" spans="1:19" ht="15.75" x14ac:dyDescent="0.25">
      <c r="A36">
        <f t="shared" si="0"/>
        <v>0</v>
      </c>
      <c r="B36" s="37">
        <v>26</v>
      </c>
      <c r="C36" s="25"/>
      <c r="D36" s="24"/>
      <c r="E36" s="24"/>
      <c r="F36" s="22"/>
      <c r="G36" s="22"/>
      <c r="H36" s="22"/>
      <c r="I36" s="33">
        <f t="shared" si="1"/>
        <v>0</v>
      </c>
      <c r="J36" s="23"/>
      <c r="K36" s="22"/>
      <c r="L36" s="31">
        <f t="shared" si="2"/>
        <v>0</v>
      </c>
      <c r="M36" s="21"/>
      <c r="N36" s="21"/>
      <c r="O36" s="38"/>
      <c r="P36" s="15" t="str">
        <f>IF(R36&lt;&gt;0,R36&amp;COUNTIF($R$11:R36,R36),0)</f>
        <v>026</v>
      </c>
      <c r="R36" s="16" t="str">
        <f t="shared" si="3"/>
        <v>0</v>
      </c>
      <c r="S36" s="15">
        <f t="shared" si="4"/>
        <v>0</v>
      </c>
    </row>
    <row r="37" spans="1:19" ht="15.75" x14ac:dyDescent="0.25">
      <c r="A37">
        <f t="shared" si="0"/>
        <v>0</v>
      </c>
      <c r="B37" s="37">
        <v>27</v>
      </c>
      <c r="C37" s="25"/>
      <c r="D37" s="24"/>
      <c r="E37" s="24"/>
      <c r="F37" s="22"/>
      <c r="G37" s="22"/>
      <c r="H37" s="22"/>
      <c r="I37" s="33">
        <f t="shared" si="1"/>
        <v>0</v>
      </c>
      <c r="J37" s="23"/>
      <c r="K37" s="22"/>
      <c r="L37" s="31">
        <f t="shared" si="2"/>
        <v>0</v>
      </c>
      <c r="M37" s="21"/>
      <c r="N37" s="21"/>
      <c r="O37" s="38"/>
      <c r="P37" s="15" t="str">
        <f>IF(R37&lt;&gt;0,R37&amp;COUNTIF($R$11:R37,R37),0)</f>
        <v>027</v>
      </c>
      <c r="R37" s="16" t="str">
        <f t="shared" si="3"/>
        <v>0</v>
      </c>
      <c r="S37" s="15">
        <f t="shared" si="4"/>
        <v>0</v>
      </c>
    </row>
    <row r="38" spans="1:19" ht="15.75" x14ac:dyDescent="0.25">
      <c r="A38">
        <f t="shared" si="0"/>
        <v>0</v>
      </c>
      <c r="B38" s="37">
        <v>28</v>
      </c>
      <c r="C38" s="25"/>
      <c r="D38" s="24"/>
      <c r="E38" s="24"/>
      <c r="F38" s="22"/>
      <c r="G38" s="22"/>
      <c r="H38" s="22"/>
      <c r="I38" s="33">
        <f t="shared" si="1"/>
        <v>0</v>
      </c>
      <c r="J38" s="23"/>
      <c r="K38" s="22"/>
      <c r="L38" s="31">
        <f t="shared" si="2"/>
        <v>0</v>
      </c>
      <c r="M38" s="21"/>
      <c r="N38" s="21"/>
      <c r="O38" s="38"/>
      <c r="P38" s="15" t="str">
        <f>IF(R38&lt;&gt;0,R38&amp;COUNTIF($R$11:R38,R38),0)</f>
        <v>028</v>
      </c>
      <c r="R38" s="16" t="str">
        <f t="shared" si="3"/>
        <v>0</v>
      </c>
      <c r="S38" s="15">
        <f t="shared" si="4"/>
        <v>0</v>
      </c>
    </row>
    <row r="39" spans="1:19" ht="15.75" x14ac:dyDescent="0.25">
      <c r="A39">
        <f t="shared" si="0"/>
        <v>0</v>
      </c>
      <c r="B39" s="37">
        <v>29</v>
      </c>
      <c r="C39" s="25"/>
      <c r="D39" s="24"/>
      <c r="E39" s="24"/>
      <c r="F39" s="22"/>
      <c r="G39" s="22"/>
      <c r="H39" s="22"/>
      <c r="I39" s="33">
        <f t="shared" si="1"/>
        <v>0</v>
      </c>
      <c r="J39" s="23"/>
      <c r="K39" s="22"/>
      <c r="L39" s="31">
        <f t="shared" si="2"/>
        <v>0</v>
      </c>
      <c r="M39" s="21"/>
      <c r="N39" s="21"/>
      <c r="O39" s="38"/>
      <c r="P39" s="15" t="str">
        <f>IF(R39&lt;&gt;0,R39&amp;COUNTIF($R$11:R39,R39),0)</f>
        <v>029</v>
      </c>
      <c r="R39" s="16" t="str">
        <f t="shared" si="3"/>
        <v>0</v>
      </c>
      <c r="S39" s="15">
        <f t="shared" si="4"/>
        <v>0</v>
      </c>
    </row>
    <row r="40" spans="1:19" ht="15.75" x14ac:dyDescent="0.25">
      <c r="A40">
        <f t="shared" si="0"/>
        <v>0</v>
      </c>
      <c r="B40" s="37">
        <v>30</v>
      </c>
      <c r="C40" s="25"/>
      <c r="D40" s="24"/>
      <c r="E40" s="24"/>
      <c r="F40" s="22"/>
      <c r="G40" s="22"/>
      <c r="H40" s="22"/>
      <c r="I40" s="33">
        <f t="shared" si="1"/>
        <v>0</v>
      </c>
      <c r="J40" s="23"/>
      <c r="K40" s="22"/>
      <c r="L40" s="31">
        <f t="shared" si="2"/>
        <v>0</v>
      </c>
      <c r="M40" s="21"/>
      <c r="N40" s="21"/>
      <c r="O40" s="38"/>
      <c r="P40" s="15" t="str">
        <f>IF(R40&lt;&gt;0,R40&amp;COUNTIF($R$11:R40,R40),0)</f>
        <v>030</v>
      </c>
      <c r="R40" s="16" t="str">
        <f t="shared" si="3"/>
        <v>0</v>
      </c>
      <c r="S40" s="15">
        <f t="shared" si="4"/>
        <v>0</v>
      </c>
    </row>
    <row r="41" spans="1:19" ht="15.75" x14ac:dyDescent="0.25">
      <c r="A41">
        <f t="shared" si="0"/>
        <v>0</v>
      </c>
      <c r="B41" s="37">
        <v>31</v>
      </c>
      <c r="C41" s="25"/>
      <c r="D41" s="24"/>
      <c r="E41" s="24"/>
      <c r="F41" s="22"/>
      <c r="G41" s="22"/>
      <c r="H41" s="22"/>
      <c r="I41" s="33">
        <f t="shared" si="1"/>
        <v>0</v>
      </c>
      <c r="J41" s="23"/>
      <c r="K41" s="22"/>
      <c r="L41" s="31">
        <f t="shared" si="2"/>
        <v>0</v>
      </c>
      <c r="M41" s="21"/>
      <c r="N41" s="21"/>
      <c r="O41" s="38"/>
      <c r="P41" s="15" t="str">
        <f>IF(R41&lt;&gt;0,R41&amp;COUNTIF($R$11:R41,R41),0)</f>
        <v>031</v>
      </c>
      <c r="R41" s="16" t="str">
        <f t="shared" si="3"/>
        <v>0</v>
      </c>
      <c r="S41" s="15">
        <f t="shared" si="4"/>
        <v>0</v>
      </c>
    </row>
    <row r="42" spans="1:19" ht="15.75" x14ac:dyDescent="0.25">
      <c r="A42">
        <f t="shared" si="0"/>
        <v>0</v>
      </c>
      <c r="B42" s="37">
        <v>32</v>
      </c>
      <c r="C42" s="25"/>
      <c r="D42" s="24"/>
      <c r="E42" s="24"/>
      <c r="F42" s="22"/>
      <c r="G42" s="22"/>
      <c r="H42" s="22"/>
      <c r="I42" s="33">
        <f t="shared" si="1"/>
        <v>0</v>
      </c>
      <c r="J42" s="23"/>
      <c r="K42" s="22"/>
      <c r="L42" s="31">
        <f t="shared" si="2"/>
        <v>0</v>
      </c>
      <c r="M42" s="21"/>
      <c r="N42" s="21"/>
      <c r="O42" s="38"/>
      <c r="P42" s="15" t="str">
        <f>IF(R42&lt;&gt;0,R42&amp;COUNTIF($R$11:R42,R42),0)</f>
        <v>032</v>
      </c>
      <c r="R42" s="16" t="str">
        <f t="shared" si="3"/>
        <v>0</v>
      </c>
      <c r="S42" s="15">
        <f t="shared" si="4"/>
        <v>0</v>
      </c>
    </row>
    <row r="43" spans="1:19" ht="15.75" x14ac:dyDescent="0.25">
      <c r="A43">
        <f t="shared" si="0"/>
        <v>0</v>
      </c>
      <c r="B43" s="37"/>
      <c r="C43" s="26"/>
      <c r="D43" s="7"/>
      <c r="E43" s="7"/>
      <c r="F43" s="10"/>
      <c r="G43" s="10"/>
      <c r="H43" s="10"/>
      <c r="I43" s="33">
        <f t="shared" si="1"/>
        <v>0</v>
      </c>
      <c r="J43" s="7"/>
      <c r="K43" s="10"/>
      <c r="L43" s="31">
        <f t="shared" si="2"/>
        <v>0</v>
      </c>
      <c r="M43" s="7"/>
      <c r="N43" s="7"/>
      <c r="O43" s="39"/>
      <c r="P43" s="15" t="str">
        <f>IF(R43&lt;&gt;0,R43&amp;COUNTIF($R$11:R43,R43),0)</f>
        <v>033</v>
      </c>
      <c r="R43" s="16" t="str">
        <f t="shared" si="3"/>
        <v>0</v>
      </c>
      <c r="S43" s="15">
        <f t="shared" si="4"/>
        <v>0</v>
      </c>
    </row>
    <row r="44" spans="1:19" ht="15.75" x14ac:dyDescent="0.25">
      <c r="A44">
        <f t="shared" si="0"/>
        <v>0</v>
      </c>
      <c r="B44" s="37"/>
      <c r="C44" s="26"/>
      <c r="D44" s="7"/>
      <c r="E44" s="7"/>
      <c r="F44" s="10"/>
      <c r="G44" s="10"/>
      <c r="H44" s="10"/>
      <c r="I44" s="33">
        <f t="shared" si="1"/>
        <v>0</v>
      </c>
      <c r="J44" s="7"/>
      <c r="K44" s="10"/>
      <c r="L44" s="31">
        <f t="shared" si="2"/>
        <v>0</v>
      </c>
      <c r="M44" s="7"/>
      <c r="N44" s="7"/>
      <c r="O44" s="39"/>
      <c r="P44" s="15" t="str">
        <f>IF(R44&lt;&gt;0,R44&amp;COUNTIF($R$11:R44,R44),0)</f>
        <v>034</v>
      </c>
      <c r="R44" s="16" t="str">
        <f t="shared" si="3"/>
        <v>0</v>
      </c>
      <c r="S44" s="15">
        <f t="shared" si="4"/>
        <v>0</v>
      </c>
    </row>
    <row r="45" spans="1:19" ht="15.75" x14ac:dyDescent="0.25">
      <c r="A45">
        <f t="shared" si="0"/>
        <v>0</v>
      </c>
      <c r="B45" s="37"/>
      <c r="C45" s="26"/>
      <c r="D45" s="7"/>
      <c r="E45" s="7"/>
      <c r="F45" s="10"/>
      <c r="G45" s="10"/>
      <c r="H45" s="10"/>
      <c r="I45" s="33">
        <f t="shared" si="1"/>
        <v>0</v>
      </c>
      <c r="J45" s="7"/>
      <c r="K45" s="10"/>
      <c r="L45" s="31">
        <f t="shared" si="2"/>
        <v>0</v>
      </c>
      <c r="M45" s="7"/>
      <c r="N45" s="7"/>
      <c r="O45" s="39"/>
      <c r="P45" s="15" t="str">
        <f>IF(R45&lt;&gt;0,R45&amp;COUNTIF($R$11:R45,R45),0)</f>
        <v>035</v>
      </c>
      <c r="R45" s="16" t="str">
        <f t="shared" si="3"/>
        <v>0</v>
      </c>
      <c r="S45" s="15">
        <f t="shared" si="4"/>
        <v>0</v>
      </c>
    </row>
    <row r="46" spans="1:19" ht="15.75" x14ac:dyDescent="0.25">
      <c r="A46">
        <f t="shared" si="0"/>
        <v>0</v>
      </c>
      <c r="B46" s="37"/>
      <c r="C46" s="26"/>
      <c r="D46" s="7"/>
      <c r="E46" s="7"/>
      <c r="F46" s="10"/>
      <c r="G46" s="10"/>
      <c r="H46" s="10"/>
      <c r="I46" s="33">
        <f t="shared" si="1"/>
        <v>0</v>
      </c>
      <c r="J46" s="7"/>
      <c r="K46" s="10"/>
      <c r="L46" s="31">
        <f t="shared" si="2"/>
        <v>0</v>
      </c>
      <c r="M46" s="7"/>
      <c r="N46" s="7"/>
      <c r="O46" s="39"/>
      <c r="P46" s="15" t="str">
        <f>IF(R46&lt;&gt;0,R46&amp;COUNTIF($R$11:R46,R46),0)</f>
        <v>036</v>
      </c>
      <c r="R46" s="16" t="str">
        <f t="shared" si="3"/>
        <v>0</v>
      </c>
      <c r="S46" s="15">
        <f t="shared" si="4"/>
        <v>0</v>
      </c>
    </row>
    <row r="47" spans="1:19" ht="15.75" x14ac:dyDescent="0.25">
      <c r="A47">
        <f t="shared" si="0"/>
        <v>0</v>
      </c>
      <c r="B47" s="37"/>
      <c r="C47" s="26"/>
      <c r="D47" s="7"/>
      <c r="E47" s="7"/>
      <c r="F47" s="10"/>
      <c r="G47" s="10"/>
      <c r="H47" s="10"/>
      <c r="I47" s="33">
        <f t="shared" si="1"/>
        <v>0</v>
      </c>
      <c r="J47" s="7"/>
      <c r="K47" s="10"/>
      <c r="L47" s="31">
        <f t="shared" si="2"/>
        <v>0</v>
      </c>
      <c r="M47" s="7"/>
      <c r="N47" s="7"/>
      <c r="O47" s="39"/>
      <c r="P47" s="15" t="str">
        <f>IF(R47&lt;&gt;0,R47&amp;COUNTIF($R$11:R47,R47),0)</f>
        <v>037</v>
      </c>
      <c r="R47" s="16" t="str">
        <f t="shared" si="3"/>
        <v>0</v>
      </c>
      <c r="S47" s="15">
        <f t="shared" si="4"/>
        <v>0</v>
      </c>
    </row>
    <row r="48" spans="1:19" ht="15.75" x14ac:dyDescent="0.25">
      <c r="A48">
        <f t="shared" si="0"/>
        <v>0</v>
      </c>
      <c r="B48" s="37"/>
      <c r="C48" s="26"/>
      <c r="D48" s="7"/>
      <c r="E48" s="7"/>
      <c r="F48" s="10"/>
      <c r="G48" s="10"/>
      <c r="H48" s="10"/>
      <c r="I48" s="33">
        <f t="shared" si="1"/>
        <v>0</v>
      </c>
      <c r="J48" s="7"/>
      <c r="K48" s="10"/>
      <c r="L48" s="31">
        <f t="shared" si="2"/>
        <v>0</v>
      </c>
      <c r="M48" s="7"/>
      <c r="N48" s="7"/>
      <c r="O48" s="39"/>
      <c r="P48" s="15" t="str">
        <f>IF(R48&lt;&gt;0,R48&amp;COUNTIF($R$11:R48,R48),0)</f>
        <v>038</v>
      </c>
      <c r="R48" s="16" t="str">
        <f t="shared" si="3"/>
        <v>0</v>
      </c>
      <c r="S48" s="15">
        <f t="shared" si="4"/>
        <v>0</v>
      </c>
    </row>
    <row r="49" spans="1:19" ht="15.75" x14ac:dyDescent="0.25">
      <c r="A49">
        <f t="shared" si="0"/>
        <v>0</v>
      </c>
      <c r="B49" s="37"/>
      <c r="C49" s="26"/>
      <c r="D49" s="7"/>
      <c r="E49" s="7"/>
      <c r="F49" s="10"/>
      <c r="G49" s="10"/>
      <c r="H49" s="10"/>
      <c r="I49" s="33">
        <f t="shared" si="1"/>
        <v>0</v>
      </c>
      <c r="J49" s="7"/>
      <c r="K49" s="10"/>
      <c r="L49" s="31">
        <f t="shared" si="2"/>
        <v>0</v>
      </c>
      <c r="M49" s="7"/>
      <c r="N49" s="7"/>
      <c r="O49" s="39"/>
      <c r="P49" s="15" t="str">
        <f>IF(R49&lt;&gt;0,R49&amp;COUNTIF($R$11:R49,R49),0)</f>
        <v>039</v>
      </c>
      <c r="R49" s="16" t="str">
        <f t="shared" si="3"/>
        <v>0</v>
      </c>
      <c r="S49" s="15">
        <f t="shared" si="4"/>
        <v>0</v>
      </c>
    </row>
    <row r="50" spans="1:19" ht="15.75" x14ac:dyDescent="0.25">
      <c r="A50">
        <f t="shared" si="0"/>
        <v>0</v>
      </c>
      <c r="B50" s="37"/>
      <c r="C50" s="26"/>
      <c r="D50" s="7"/>
      <c r="E50" s="7"/>
      <c r="F50" s="10"/>
      <c r="G50" s="10"/>
      <c r="H50" s="10"/>
      <c r="I50" s="33">
        <f t="shared" si="1"/>
        <v>0</v>
      </c>
      <c r="J50" s="7"/>
      <c r="K50" s="10"/>
      <c r="L50" s="31">
        <f t="shared" si="2"/>
        <v>0</v>
      </c>
      <c r="M50" s="7"/>
      <c r="N50" s="7"/>
      <c r="O50" s="39"/>
      <c r="P50" s="15" t="str">
        <f>IF(R50&lt;&gt;0,R50&amp;COUNTIF($R$11:R50,R50),0)</f>
        <v>040</v>
      </c>
      <c r="R50" s="16" t="str">
        <f t="shared" si="3"/>
        <v>0</v>
      </c>
      <c r="S50" s="15">
        <f t="shared" si="4"/>
        <v>0</v>
      </c>
    </row>
    <row r="51" spans="1:19" ht="15.75" x14ac:dyDescent="0.25">
      <c r="A51">
        <f t="shared" si="0"/>
        <v>0</v>
      </c>
      <c r="B51" s="37"/>
      <c r="C51" s="26"/>
      <c r="D51" s="7"/>
      <c r="E51" s="7"/>
      <c r="F51" s="10"/>
      <c r="G51" s="10"/>
      <c r="H51" s="10"/>
      <c r="I51" s="33">
        <f t="shared" si="1"/>
        <v>0</v>
      </c>
      <c r="J51" s="7"/>
      <c r="K51" s="10"/>
      <c r="L51" s="31">
        <f t="shared" si="2"/>
        <v>0</v>
      </c>
      <c r="M51" s="7"/>
      <c r="N51" s="7"/>
      <c r="O51" s="39"/>
      <c r="P51" s="15" t="str">
        <f>IF(R51&lt;&gt;0,R51&amp;COUNTIF($R$11:R51,R51),0)</f>
        <v>041</v>
      </c>
      <c r="R51" s="16" t="str">
        <f t="shared" si="3"/>
        <v>0</v>
      </c>
      <c r="S51" s="15">
        <f t="shared" si="4"/>
        <v>0</v>
      </c>
    </row>
    <row r="52" spans="1:19" ht="15.75" x14ac:dyDescent="0.25">
      <c r="A52">
        <f t="shared" si="0"/>
        <v>0</v>
      </c>
      <c r="B52" s="37"/>
      <c r="C52" s="26"/>
      <c r="D52" s="7"/>
      <c r="E52" s="7"/>
      <c r="F52" s="10"/>
      <c r="G52" s="10"/>
      <c r="H52" s="10"/>
      <c r="I52" s="33">
        <f t="shared" si="1"/>
        <v>0</v>
      </c>
      <c r="J52" s="7"/>
      <c r="K52" s="10"/>
      <c r="L52" s="31">
        <f t="shared" si="2"/>
        <v>0</v>
      </c>
      <c r="M52" s="7"/>
      <c r="N52" s="7"/>
      <c r="O52" s="39"/>
      <c r="P52" s="15" t="str">
        <f>IF(R52&lt;&gt;0,R52&amp;COUNTIF($R$11:R52,R52),0)</f>
        <v>042</v>
      </c>
      <c r="R52" s="16" t="str">
        <f t="shared" si="3"/>
        <v>0</v>
      </c>
      <c r="S52" s="15">
        <f t="shared" si="4"/>
        <v>0</v>
      </c>
    </row>
    <row r="53" spans="1:19" ht="15.75" x14ac:dyDescent="0.25">
      <c r="A53">
        <f t="shared" si="0"/>
        <v>0</v>
      </c>
      <c r="B53" s="37"/>
      <c r="C53" s="26"/>
      <c r="D53" s="7"/>
      <c r="E53" s="7"/>
      <c r="F53" s="10"/>
      <c r="G53" s="10"/>
      <c r="H53" s="10"/>
      <c r="I53" s="33">
        <f t="shared" si="1"/>
        <v>0</v>
      </c>
      <c r="J53" s="7"/>
      <c r="K53" s="10"/>
      <c r="L53" s="31">
        <f t="shared" si="2"/>
        <v>0</v>
      </c>
      <c r="M53" s="7"/>
      <c r="N53" s="7"/>
      <c r="O53" s="39"/>
      <c r="P53" s="15" t="str">
        <f>IF(R53&lt;&gt;0,R53&amp;COUNTIF($R$11:R53,R53),0)</f>
        <v>043</v>
      </c>
      <c r="R53" s="16" t="str">
        <f t="shared" si="3"/>
        <v>0</v>
      </c>
      <c r="S53" s="15">
        <f t="shared" si="4"/>
        <v>0</v>
      </c>
    </row>
    <row r="54" spans="1:19" ht="15.75" x14ac:dyDescent="0.25">
      <c r="A54">
        <f t="shared" si="0"/>
        <v>0</v>
      </c>
      <c r="B54" s="37"/>
      <c r="C54" s="26"/>
      <c r="D54" s="7"/>
      <c r="E54" s="7"/>
      <c r="F54" s="10"/>
      <c r="G54" s="10"/>
      <c r="H54" s="10"/>
      <c r="I54" s="33">
        <f t="shared" si="1"/>
        <v>0</v>
      </c>
      <c r="J54" s="7"/>
      <c r="K54" s="10"/>
      <c r="L54" s="31">
        <f t="shared" si="2"/>
        <v>0</v>
      </c>
      <c r="M54" s="7"/>
      <c r="N54" s="7"/>
      <c r="O54" s="39"/>
      <c r="P54" s="15" t="str">
        <f>IF(R54&lt;&gt;0,R54&amp;COUNTIF($R$11:R54,R54),0)</f>
        <v>044</v>
      </c>
      <c r="R54" s="16" t="str">
        <f t="shared" si="3"/>
        <v>0</v>
      </c>
      <c r="S54" s="15">
        <f t="shared" si="4"/>
        <v>0</v>
      </c>
    </row>
    <row r="55" spans="1:19" ht="15.75" x14ac:dyDescent="0.25">
      <c r="A55">
        <f t="shared" si="0"/>
        <v>0</v>
      </c>
      <c r="B55" s="37"/>
      <c r="C55" s="26"/>
      <c r="D55" s="7"/>
      <c r="E55" s="7"/>
      <c r="F55" s="10"/>
      <c r="G55" s="10"/>
      <c r="H55" s="10"/>
      <c r="I55" s="33">
        <f t="shared" si="1"/>
        <v>0</v>
      </c>
      <c r="J55" s="7"/>
      <c r="K55" s="10"/>
      <c r="L55" s="31">
        <f t="shared" si="2"/>
        <v>0</v>
      </c>
      <c r="M55" s="7"/>
      <c r="N55" s="7"/>
      <c r="O55" s="39"/>
      <c r="P55" s="15" t="str">
        <f>IF(R55&lt;&gt;0,R55&amp;COUNTIF($R$11:R55,R55),0)</f>
        <v>045</v>
      </c>
      <c r="R55" s="16" t="str">
        <f t="shared" si="3"/>
        <v>0</v>
      </c>
      <c r="S55" s="15">
        <f t="shared" si="4"/>
        <v>0</v>
      </c>
    </row>
    <row r="56" spans="1:19" ht="15.75" x14ac:dyDescent="0.25">
      <c r="A56">
        <f t="shared" si="0"/>
        <v>0</v>
      </c>
      <c r="B56" s="37"/>
      <c r="C56" s="26"/>
      <c r="D56" s="7"/>
      <c r="E56" s="7"/>
      <c r="F56" s="10"/>
      <c r="G56" s="10"/>
      <c r="H56" s="10"/>
      <c r="I56" s="33">
        <f t="shared" si="1"/>
        <v>0</v>
      </c>
      <c r="J56" s="7"/>
      <c r="K56" s="10"/>
      <c r="L56" s="31">
        <f t="shared" si="2"/>
        <v>0</v>
      </c>
      <c r="M56" s="7"/>
      <c r="N56" s="7"/>
      <c r="O56" s="39"/>
      <c r="P56" s="15" t="str">
        <f>IF(R56&lt;&gt;0,R56&amp;COUNTIF($R$11:R56,R56),0)</f>
        <v>046</v>
      </c>
      <c r="R56" s="16" t="str">
        <f t="shared" si="3"/>
        <v>0</v>
      </c>
      <c r="S56" s="15">
        <f t="shared" si="4"/>
        <v>0</v>
      </c>
    </row>
    <row r="57" spans="1:19" ht="15.75" x14ac:dyDescent="0.25">
      <c r="A57">
        <f t="shared" si="0"/>
        <v>0</v>
      </c>
      <c r="B57" s="37"/>
      <c r="C57" s="26"/>
      <c r="D57" s="7"/>
      <c r="E57" s="7"/>
      <c r="F57" s="10"/>
      <c r="G57" s="10"/>
      <c r="H57" s="10"/>
      <c r="I57" s="33">
        <f t="shared" si="1"/>
        <v>0</v>
      </c>
      <c r="J57" s="7"/>
      <c r="K57" s="10"/>
      <c r="L57" s="31">
        <f t="shared" si="2"/>
        <v>0</v>
      </c>
      <c r="M57" s="7"/>
      <c r="N57" s="7"/>
      <c r="O57" s="39"/>
      <c r="P57" s="15" t="str">
        <f>IF(R57&lt;&gt;0,R57&amp;COUNTIF($R$11:R57,R57),0)</f>
        <v>047</v>
      </c>
      <c r="R57" s="16" t="str">
        <f t="shared" si="3"/>
        <v>0</v>
      </c>
      <c r="S57" s="15">
        <f t="shared" si="4"/>
        <v>0</v>
      </c>
    </row>
    <row r="58" spans="1:19" ht="15.75" x14ac:dyDescent="0.25">
      <c r="A58">
        <f t="shared" si="0"/>
        <v>0</v>
      </c>
      <c r="B58" s="37"/>
      <c r="C58" s="26"/>
      <c r="D58" s="7"/>
      <c r="E58" s="7"/>
      <c r="F58" s="10"/>
      <c r="G58" s="10"/>
      <c r="H58" s="10"/>
      <c r="I58" s="33">
        <f t="shared" si="1"/>
        <v>0</v>
      </c>
      <c r="J58" s="7"/>
      <c r="K58" s="10"/>
      <c r="L58" s="31">
        <f t="shared" si="2"/>
        <v>0</v>
      </c>
      <c r="M58" s="7"/>
      <c r="N58" s="7"/>
      <c r="O58" s="39"/>
      <c r="P58" s="15" t="str">
        <f>IF(R58&lt;&gt;0,R58&amp;COUNTIF($R$11:R58,R58),0)</f>
        <v>048</v>
      </c>
      <c r="R58" s="16" t="str">
        <f t="shared" si="3"/>
        <v>0</v>
      </c>
      <c r="S58" s="15">
        <f t="shared" si="4"/>
        <v>0</v>
      </c>
    </row>
    <row r="59" spans="1:19" ht="15.75" x14ac:dyDescent="0.25">
      <c r="A59">
        <f t="shared" si="0"/>
        <v>0</v>
      </c>
      <c r="B59" s="37"/>
      <c r="C59" s="26"/>
      <c r="D59" s="7"/>
      <c r="E59" s="7"/>
      <c r="F59" s="10"/>
      <c r="G59" s="10"/>
      <c r="H59" s="10"/>
      <c r="I59" s="33">
        <f t="shared" si="1"/>
        <v>0</v>
      </c>
      <c r="J59" s="7"/>
      <c r="K59" s="10"/>
      <c r="L59" s="31">
        <f t="shared" si="2"/>
        <v>0</v>
      </c>
      <c r="M59" s="7"/>
      <c r="N59" s="7"/>
      <c r="O59" s="39"/>
      <c r="P59" s="15" t="str">
        <f>IF(R59&lt;&gt;0,R59&amp;COUNTIF($R$11:R59,R59),0)</f>
        <v>049</v>
      </c>
      <c r="R59" s="16" t="str">
        <f t="shared" si="3"/>
        <v>0</v>
      </c>
      <c r="S59" s="15">
        <f t="shared" si="4"/>
        <v>0</v>
      </c>
    </row>
    <row r="60" spans="1:19" ht="15.75" x14ac:dyDescent="0.25">
      <c r="A60">
        <f t="shared" si="0"/>
        <v>0</v>
      </c>
      <c r="B60" s="37"/>
      <c r="C60" s="26"/>
      <c r="D60" s="7"/>
      <c r="E60" s="7"/>
      <c r="F60" s="10"/>
      <c r="G60" s="10"/>
      <c r="H60" s="10"/>
      <c r="I60" s="33">
        <f t="shared" si="1"/>
        <v>0</v>
      </c>
      <c r="J60" s="7"/>
      <c r="K60" s="10"/>
      <c r="L60" s="31">
        <f t="shared" si="2"/>
        <v>0</v>
      </c>
      <c r="M60" s="7"/>
      <c r="N60" s="7"/>
      <c r="O60" s="39"/>
      <c r="P60" s="15" t="str">
        <f>IF(R60&lt;&gt;0,R60&amp;COUNTIF($R$11:R60,R60),0)</f>
        <v>050</v>
      </c>
      <c r="R60" s="16" t="str">
        <f t="shared" si="3"/>
        <v>0</v>
      </c>
      <c r="S60" s="15">
        <f t="shared" si="4"/>
        <v>0</v>
      </c>
    </row>
    <row r="61" spans="1:19" ht="15.75" x14ac:dyDescent="0.25">
      <c r="A61">
        <f t="shared" si="0"/>
        <v>0</v>
      </c>
      <c r="B61" s="37"/>
      <c r="C61" s="26"/>
      <c r="D61" s="7"/>
      <c r="E61" s="7"/>
      <c r="F61" s="10"/>
      <c r="G61" s="10"/>
      <c r="H61" s="10"/>
      <c r="I61" s="33">
        <f t="shared" si="1"/>
        <v>0</v>
      </c>
      <c r="J61" s="7"/>
      <c r="K61" s="10"/>
      <c r="L61" s="31">
        <f t="shared" si="2"/>
        <v>0</v>
      </c>
      <c r="M61" s="7"/>
      <c r="N61" s="7"/>
      <c r="O61" s="39"/>
      <c r="P61" s="15" t="str">
        <f>IF(R61&lt;&gt;0,R61&amp;COUNTIF($R$11:R61,R61),0)</f>
        <v>051</v>
      </c>
      <c r="R61" s="16" t="str">
        <f t="shared" si="3"/>
        <v>0</v>
      </c>
      <c r="S61" s="15">
        <f t="shared" si="4"/>
        <v>0</v>
      </c>
    </row>
    <row r="62" spans="1:19" ht="15.75" x14ac:dyDescent="0.25">
      <c r="A62">
        <f t="shared" si="0"/>
        <v>0</v>
      </c>
      <c r="B62" s="37"/>
      <c r="C62" s="26"/>
      <c r="D62" s="7"/>
      <c r="E62" s="7"/>
      <c r="F62" s="10"/>
      <c r="G62" s="10"/>
      <c r="H62" s="10"/>
      <c r="I62" s="33">
        <f t="shared" si="1"/>
        <v>0</v>
      </c>
      <c r="J62" s="7"/>
      <c r="K62" s="10"/>
      <c r="L62" s="31">
        <f t="shared" si="2"/>
        <v>0</v>
      </c>
      <c r="M62" s="7"/>
      <c r="N62" s="7"/>
      <c r="O62" s="39"/>
      <c r="P62" s="15" t="str">
        <f>IF(R62&lt;&gt;0,R62&amp;COUNTIF($R$11:R62,R62),0)</f>
        <v>052</v>
      </c>
      <c r="R62" s="16" t="str">
        <f t="shared" si="3"/>
        <v>0</v>
      </c>
      <c r="S62" s="15">
        <f t="shared" si="4"/>
        <v>0</v>
      </c>
    </row>
    <row r="63" spans="1:19" ht="15.75" x14ac:dyDescent="0.25">
      <c r="A63">
        <f t="shared" si="0"/>
        <v>0</v>
      </c>
      <c r="B63" s="37"/>
      <c r="C63" s="26"/>
      <c r="D63" s="7"/>
      <c r="E63" s="7"/>
      <c r="F63" s="10"/>
      <c r="G63" s="10"/>
      <c r="H63" s="10"/>
      <c r="I63" s="33">
        <f t="shared" si="1"/>
        <v>0</v>
      </c>
      <c r="J63" s="7"/>
      <c r="K63" s="10"/>
      <c r="L63" s="31">
        <f t="shared" si="2"/>
        <v>0</v>
      </c>
      <c r="M63" s="7"/>
      <c r="N63" s="7"/>
      <c r="O63" s="39"/>
      <c r="P63" s="15" t="str">
        <f>IF(R63&lt;&gt;0,R63&amp;COUNTIF($R$11:R63,R63),0)</f>
        <v>053</v>
      </c>
      <c r="R63" s="16" t="str">
        <f t="shared" si="3"/>
        <v>0</v>
      </c>
      <c r="S63" s="15">
        <f t="shared" si="4"/>
        <v>0</v>
      </c>
    </row>
    <row r="64" spans="1:19" ht="15.75" x14ac:dyDescent="0.25">
      <c r="A64">
        <f t="shared" si="0"/>
        <v>0</v>
      </c>
      <c r="B64" s="37"/>
      <c r="C64" s="26"/>
      <c r="D64" s="7"/>
      <c r="E64" s="7"/>
      <c r="F64" s="10"/>
      <c r="G64" s="10"/>
      <c r="H64" s="10"/>
      <c r="I64" s="33">
        <f t="shared" si="1"/>
        <v>0</v>
      </c>
      <c r="J64" s="7"/>
      <c r="K64" s="10"/>
      <c r="L64" s="31">
        <f t="shared" si="2"/>
        <v>0</v>
      </c>
      <c r="M64" s="7"/>
      <c r="N64" s="7"/>
      <c r="O64" s="39"/>
      <c r="P64" s="15" t="str">
        <f>IF(R64&lt;&gt;0,R64&amp;COUNTIF($R$11:R64,R64),0)</f>
        <v>054</v>
      </c>
      <c r="R64" s="16" t="str">
        <f t="shared" si="3"/>
        <v>0</v>
      </c>
      <c r="S64" s="15">
        <f t="shared" si="4"/>
        <v>0</v>
      </c>
    </row>
    <row r="65" spans="1:19" ht="15.75" x14ac:dyDescent="0.25">
      <c r="A65">
        <f t="shared" si="0"/>
        <v>0</v>
      </c>
      <c r="B65" s="37"/>
      <c r="C65" s="26"/>
      <c r="D65" s="7"/>
      <c r="E65" s="7"/>
      <c r="F65" s="10"/>
      <c r="G65" s="10"/>
      <c r="H65" s="10"/>
      <c r="I65" s="33">
        <f t="shared" si="1"/>
        <v>0</v>
      </c>
      <c r="J65" s="7"/>
      <c r="K65" s="10"/>
      <c r="L65" s="31">
        <f t="shared" si="2"/>
        <v>0</v>
      </c>
      <c r="M65" s="7"/>
      <c r="N65" s="7"/>
      <c r="O65" s="39"/>
      <c r="P65" s="15" t="str">
        <f>IF(R65&lt;&gt;0,R65&amp;COUNTIF($R$11:R65,R65),0)</f>
        <v>055</v>
      </c>
      <c r="R65" s="16" t="str">
        <f t="shared" si="3"/>
        <v>0</v>
      </c>
      <c r="S65" s="15">
        <f t="shared" si="4"/>
        <v>0</v>
      </c>
    </row>
    <row r="66" spans="1:19" ht="15.75" x14ac:dyDescent="0.25">
      <c r="A66">
        <f t="shared" si="0"/>
        <v>0</v>
      </c>
      <c r="B66" s="37"/>
      <c r="C66" s="26"/>
      <c r="D66" s="7"/>
      <c r="E66" s="7"/>
      <c r="F66" s="10"/>
      <c r="G66" s="10"/>
      <c r="H66" s="10"/>
      <c r="I66" s="33">
        <f t="shared" si="1"/>
        <v>0</v>
      </c>
      <c r="J66" s="7"/>
      <c r="K66" s="10"/>
      <c r="L66" s="31">
        <f t="shared" si="2"/>
        <v>0</v>
      </c>
      <c r="M66" s="7"/>
      <c r="N66" s="7"/>
      <c r="O66" s="39"/>
      <c r="P66" s="15" t="str">
        <f>IF(R66&lt;&gt;0,R66&amp;COUNTIF($R$11:R66,R66),0)</f>
        <v>056</v>
      </c>
      <c r="R66" s="16" t="str">
        <f t="shared" si="3"/>
        <v>0</v>
      </c>
      <c r="S66" s="15">
        <f t="shared" si="4"/>
        <v>0</v>
      </c>
    </row>
    <row r="67" spans="1:19" ht="15.75" x14ac:dyDescent="0.25">
      <c r="A67">
        <f t="shared" si="0"/>
        <v>0</v>
      </c>
      <c r="B67" s="37"/>
      <c r="C67" s="26"/>
      <c r="D67" s="7"/>
      <c r="E67" s="7"/>
      <c r="F67" s="10"/>
      <c r="G67" s="10"/>
      <c r="H67" s="10"/>
      <c r="I67" s="33">
        <f t="shared" si="1"/>
        <v>0</v>
      </c>
      <c r="J67" s="7"/>
      <c r="K67" s="10"/>
      <c r="L67" s="31">
        <f t="shared" si="2"/>
        <v>0</v>
      </c>
      <c r="M67" s="7"/>
      <c r="N67" s="7"/>
      <c r="O67" s="39"/>
      <c r="P67" s="15" t="str">
        <f>IF(R67&lt;&gt;0,R67&amp;COUNTIF($R$11:R67,R67),0)</f>
        <v>057</v>
      </c>
      <c r="R67" s="16" t="str">
        <f t="shared" si="3"/>
        <v>0</v>
      </c>
      <c r="S67" s="15">
        <f t="shared" si="4"/>
        <v>0</v>
      </c>
    </row>
    <row r="68" spans="1:19" ht="15.75" x14ac:dyDescent="0.25">
      <c r="A68">
        <f t="shared" si="0"/>
        <v>0</v>
      </c>
      <c r="B68" s="37"/>
      <c r="C68" s="26"/>
      <c r="D68" s="7"/>
      <c r="E68" s="7"/>
      <c r="F68" s="10"/>
      <c r="G68" s="10"/>
      <c r="H68" s="10"/>
      <c r="I68" s="33">
        <f t="shared" si="1"/>
        <v>0</v>
      </c>
      <c r="J68" s="7"/>
      <c r="K68" s="10"/>
      <c r="L68" s="31">
        <f t="shared" si="2"/>
        <v>0</v>
      </c>
      <c r="M68" s="7"/>
      <c r="N68" s="7"/>
      <c r="O68" s="39"/>
      <c r="P68" s="15" t="str">
        <f>IF(R68&lt;&gt;0,R68&amp;COUNTIF($R$11:R68,R68),0)</f>
        <v>058</v>
      </c>
      <c r="R68" s="16" t="str">
        <f t="shared" si="3"/>
        <v>0</v>
      </c>
      <c r="S68" s="15">
        <f t="shared" si="4"/>
        <v>0</v>
      </c>
    </row>
    <row r="69" spans="1:19" ht="15.75" x14ac:dyDescent="0.25">
      <c r="A69">
        <f t="shared" si="0"/>
        <v>0</v>
      </c>
      <c r="B69" s="37"/>
      <c r="C69" s="26"/>
      <c r="D69" s="7"/>
      <c r="E69" s="7"/>
      <c r="F69" s="10"/>
      <c r="G69" s="10"/>
      <c r="H69" s="10"/>
      <c r="I69" s="33">
        <f t="shared" si="1"/>
        <v>0</v>
      </c>
      <c r="J69" s="7"/>
      <c r="K69" s="10"/>
      <c r="L69" s="31">
        <f t="shared" si="2"/>
        <v>0</v>
      </c>
      <c r="M69" s="7"/>
      <c r="N69" s="7"/>
      <c r="O69" s="39"/>
      <c r="P69" s="15" t="str">
        <f>IF(R69&lt;&gt;0,R69&amp;COUNTIF($R$11:R69,R69),0)</f>
        <v>059</v>
      </c>
      <c r="R69" s="16" t="str">
        <f t="shared" si="3"/>
        <v>0</v>
      </c>
      <c r="S69" s="15">
        <f t="shared" si="4"/>
        <v>0</v>
      </c>
    </row>
    <row r="70" spans="1:19" ht="15.75" x14ac:dyDescent="0.25">
      <c r="A70">
        <f t="shared" si="0"/>
        <v>0</v>
      </c>
      <c r="B70" s="37"/>
      <c r="C70" s="26"/>
      <c r="D70" s="7"/>
      <c r="E70" s="7"/>
      <c r="F70" s="10"/>
      <c r="G70" s="10"/>
      <c r="H70" s="10"/>
      <c r="I70" s="33">
        <f t="shared" si="1"/>
        <v>0</v>
      </c>
      <c r="J70" s="7"/>
      <c r="K70" s="10"/>
      <c r="L70" s="31">
        <f t="shared" si="2"/>
        <v>0</v>
      </c>
      <c r="M70" s="7"/>
      <c r="N70" s="7"/>
      <c r="O70" s="39"/>
      <c r="P70" s="15" t="str">
        <f>IF(R70&lt;&gt;0,R70&amp;COUNTIF($R$11:R70,R70),0)</f>
        <v>060</v>
      </c>
      <c r="R70" s="16" t="str">
        <f t="shared" si="3"/>
        <v>0</v>
      </c>
      <c r="S70" s="15">
        <f t="shared" si="4"/>
        <v>0</v>
      </c>
    </row>
    <row r="71" spans="1:19" ht="15.75" x14ac:dyDescent="0.25">
      <c r="A71">
        <f t="shared" si="0"/>
        <v>0</v>
      </c>
      <c r="B71" s="37"/>
      <c r="C71" s="26"/>
      <c r="D71" s="7"/>
      <c r="E71" s="7"/>
      <c r="F71" s="10"/>
      <c r="G71" s="10"/>
      <c r="H71" s="10"/>
      <c r="I71" s="33">
        <f t="shared" si="1"/>
        <v>0</v>
      </c>
      <c r="J71" s="7"/>
      <c r="K71" s="10"/>
      <c r="L71" s="31">
        <f t="shared" si="2"/>
        <v>0</v>
      </c>
      <c r="M71" s="7"/>
      <c r="N71" s="7"/>
      <c r="O71" s="39"/>
      <c r="P71" s="15" t="str">
        <f>IF(R71&lt;&gt;0,R71&amp;COUNTIF($R$11:R71,R71),0)</f>
        <v>061</v>
      </c>
      <c r="R71" s="16" t="str">
        <f t="shared" si="3"/>
        <v>0</v>
      </c>
      <c r="S71" s="15">
        <f t="shared" si="4"/>
        <v>0</v>
      </c>
    </row>
    <row r="72" spans="1:19" ht="15.75" x14ac:dyDescent="0.25">
      <c r="A72">
        <f t="shared" si="0"/>
        <v>0</v>
      </c>
      <c r="B72" s="37"/>
      <c r="C72" s="26"/>
      <c r="D72" s="7"/>
      <c r="E72" s="7"/>
      <c r="F72" s="10"/>
      <c r="G72" s="10"/>
      <c r="H72" s="10"/>
      <c r="I72" s="33">
        <f t="shared" si="1"/>
        <v>0</v>
      </c>
      <c r="J72" s="7"/>
      <c r="K72" s="10"/>
      <c r="L72" s="31">
        <f t="shared" si="2"/>
        <v>0</v>
      </c>
      <c r="M72" s="7"/>
      <c r="N72" s="7"/>
      <c r="O72" s="39"/>
      <c r="P72" s="15" t="str">
        <f>IF(R72&lt;&gt;0,R72&amp;COUNTIF($R$11:R72,R72),0)</f>
        <v>062</v>
      </c>
      <c r="R72" s="16" t="str">
        <f t="shared" si="3"/>
        <v>0</v>
      </c>
      <c r="S72" s="15">
        <f t="shared" si="4"/>
        <v>0</v>
      </c>
    </row>
    <row r="73" spans="1:19" ht="15.75" x14ac:dyDescent="0.25">
      <c r="A73">
        <f t="shared" si="0"/>
        <v>0</v>
      </c>
      <c r="B73" s="37"/>
      <c r="C73" s="26"/>
      <c r="D73" s="7"/>
      <c r="E73" s="7"/>
      <c r="F73" s="10"/>
      <c r="G73" s="10"/>
      <c r="H73" s="10"/>
      <c r="I73" s="33">
        <f t="shared" si="1"/>
        <v>0</v>
      </c>
      <c r="J73" s="7"/>
      <c r="K73" s="10"/>
      <c r="L73" s="31">
        <f t="shared" si="2"/>
        <v>0</v>
      </c>
      <c r="M73" s="7"/>
      <c r="N73" s="7"/>
      <c r="O73" s="39"/>
      <c r="P73" s="15" t="str">
        <f>IF(R73&lt;&gt;0,R73&amp;COUNTIF($R$11:R73,R73),0)</f>
        <v>063</v>
      </c>
      <c r="R73" s="16" t="str">
        <f t="shared" si="3"/>
        <v>0</v>
      </c>
      <c r="S73" s="15">
        <f t="shared" si="4"/>
        <v>0</v>
      </c>
    </row>
    <row r="74" spans="1:19" ht="15.75" x14ac:dyDescent="0.25">
      <c r="A74">
        <f t="shared" si="0"/>
        <v>0</v>
      </c>
      <c r="B74" s="37"/>
      <c r="C74" s="26"/>
      <c r="D74" s="7"/>
      <c r="E74" s="7"/>
      <c r="F74" s="10"/>
      <c r="G74" s="10"/>
      <c r="H74" s="10"/>
      <c r="I74" s="33">
        <f t="shared" si="1"/>
        <v>0</v>
      </c>
      <c r="J74" s="7"/>
      <c r="K74" s="10"/>
      <c r="L74" s="31">
        <f t="shared" si="2"/>
        <v>0</v>
      </c>
      <c r="M74" s="7"/>
      <c r="N74" s="7"/>
      <c r="O74" s="39"/>
      <c r="P74" s="15" t="str">
        <f>IF(R74&lt;&gt;0,R74&amp;COUNTIF($R$11:R74,R74),0)</f>
        <v>064</v>
      </c>
      <c r="R74" s="16" t="str">
        <f t="shared" si="3"/>
        <v>0</v>
      </c>
      <c r="S74" s="15">
        <f t="shared" si="4"/>
        <v>0</v>
      </c>
    </row>
    <row r="75" spans="1:19" ht="15.75" x14ac:dyDescent="0.25">
      <c r="A75">
        <f t="shared" si="0"/>
        <v>0</v>
      </c>
      <c r="B75" s="37"/>
      <c r="C75" s="26"/>
      <c r="D75" s="7"/>
      <c r="E75" s="7"/>
      <c r="F75" s="10"/>
      <c r="G75" s="10"/>
      <c r="H75" s="10"/>
      <c r="I75" s="33">
        <f t="shared" si="1"/>
        <v>0</v>
      </c>
      <c r="J75" s="7"/>
      <c r="K75" s="10"/>
      <c r="L75" s="31">
        <f t="shared" si="2"/>
        <v>0</v>
      </c>
      <c r="M75" s="7"/>
      <c r="N75" s="7"/>
      <c r="O75" s="39"/>
      <c r="P75" s="15" t="str">
        <f>IF(R75&lt;&gt;0,R75&amp;COUNTIF($R$11:R75,R75),0)</f>
        <v>065</v>
      </c>
      <c r="R75" s="16" t="str">
        <f t="shared" si="3"/>
        <v>0</v>
      </c>
      <c r="S75" s="15">
        <f t="shared" si="4"/>
        <v>0</v>
      </c>
    </row>
    <row r="76" spans="1:19" ht="15.75" x14ac:dyDescent="0.25">
      <c r="A76">
        <f t="shared" ref="A76:A139" si="5">S76</f>
        <v>0</v>
      </c>
      <c r="B76" s="37"/>
      <c r="C76" s="26"/>
      <c r="D76" s="7"/>
      <c r="E76" s="7"/>
      <c r="F76" s="10"/>
      <c r="G76" s="10"/>
      <c r="H76" s="10"/>
      <c r="I76" s="33">
        <f t="shared" ref="I76:I139" si="6">G76+H76</f>
        <v>0</v>
      </c>
      <c r="J76" s="7"/>
      <c r="K76" s="10"/>
      <c r="L76" s="31">
        <f t="shared" ref="L76:L139" si="7">IF(K76=0,0,I76/K76*100)</f>
        <v>0</v>
      </c>
      <c r="M76" s="7"/>
      <c r="N76" s="7"/>
      <c r="O76" s="39"/>
      <c r="P76" s="15" t="str">
        <f>IF(R76&lt;&gt;0,R76&amp;COUNTIF($R$11:R76,R76),0)</f>
        <v>066</v>
      </c>
      <c r="R76" s="16" t="str">
        <f t="shared" ref="R76:R139" si="8">LEFT(L76,4)</f>
        <v>0</v>
      </c>
      <c r="S76" s="15">
        <f t="shared" ref="S76:S129" si="9">IF(LEFT(P76,1)="0",0,VALUE(P76))</f>
        <v>0</v>
      </c>
    </row>
    <row r="77" spans="1:19" ht="15.75" x14ac:dyDescent="0.25">
      <c r="A77">
        <f t="shared" si="5"/>
        <v>0</v>
      </c>
      <c r="B77" s="37"/>
      <c r="C77" s="26"/>
      <c r="D77" s="7"/>
      <c r="E77" s="7"/>
      <c r="F77" s="10"/>
      <c r="G77" s="10"/>
      <c r="H77" s="10"/>
      <c r="I77" s="33">
        <f t="shared" si="6"/>
        <v>0</v>
      </c>
      <c r="J77" s="7"/>
      <c r="K77" s="10"/>
      <c r="L77" s="31">
        <f t="shared" si="7"/>
        <v>0</v>
      </c>
      <c r="M77" s="7"/>
      <c r="N77" s="7"/>
      <c r="O77" s="39"/>
      <c r="P77" s="15" t="str">
        <f>IF(R77&lt;&gt;0,R77&amp;COUNTIF($R$11:R77,R77),0)</f>
        <v>067</v>
      </c>
      <c r="R77" s="16" t="str">
        <f t="shared" si="8"/>
        <v>0</v>
      </c>
      <c r="S77" s="15">
        <f t="shared" si="9"/>
        <v>0</v>
      </c>
    </row>
    <row r="78" spans="1:19" ht="15.75" x14ac:dyDescent="0.25">
      <c r="A78">
        <f t="shared" si="5"/>
        <v>0</v>
      </c>
      <c r="B78" s="37"/>
      <c r="C78" s="26"/>
      <c r="D78" s="7"/>
      <c r="E78" s="7"/>
      <c r="F78" s="10"/>
      <c r="G78" s="10"/>
      <c r="H78" s="10"/>
      <c r="I78" s="33">
        <f t="shared" si="6"/>
        <v>0</v>
      </c>
      <c r="J78" s="7"/>
      <c r="K78" s="10"/>
      <c r="L78" s="31">
        <f t="shared" si="7"/>
        <v>0</v>
      </c>
      <c r="M78" s="7"/>
      <c r="N78" s="7"/>
      <c r="O78" s="39"/>
      <c r="P78" s="15" t="str">
        <f>IF(R78&lt;&gt;0,R78&amp;COUNTIF($R$11:R78,R78),0)</f>
        <v>068</v>
      </c>
      <c r="R78" s="16" t="str">
        <f t="shared" si="8"/>
        <v>0</v>
      </c>
      <c r="S78" s="15">
        <f t="shared" si="9"/>
        <v>0</v>
      </c>
    </row>
    <row r="79" spans="1:19" ht="15.75" x14ac:dyDescent="0.25">
      <c r="A79">
        <f t="shared" si="5"/>
        <v>0</v>
      </c>
      <c r="B79" s="37"/>
      <c r="C79" s="26"/>
      <c r="D79" s="7"/>
      <c r="E79" s="7"/>
      <c r="F79" s="10"/>
      <c r="G79" s="10"/>
      <c r="H79" s="10"/>
      <c r="I79" s="33">
        <f t="shared" si="6"/>
        <v>0</v>
      </c>
      <c r="J79" s="7"/>
      <c r="K79" s="10"/>
      <c r="L79" s="31">
        <f t="shared" si="7"/>
        <v>0</v>
      </c>
      <c r="M79" s="7"/>
      <c r="N79" s="7"/>
      <c r="O79" s="39"/>
      <c r="P79" s="15" t="str">
        <f>IF(R79&lt;&gt;0,R79&amp;COUNTIF($R$11:R79,R79),0)</f>
        <v>069</v>
      </c>
      <c r="R79" s="16" t="str">
        <f t="shared" si="8"/>
        <v>0</v>
      </c>
      <c r="S79" s="15">
        <f t="shared" si="9"/>
        <v>0</v>
      </c>
    </row>
    <row r="80" spans="1:19" ht="15.75" x14ac:dyDescent="0.25">
      <c r="A80">
        <f t="shared" si="5"/>
        <v>0</v>
      </c>
      <c r="B80" s="37"/>
      <c r="C80" s="26"/>
      <c r="D80" s="7"/>
      <c r="E80" s="7"/>
      <c r="F80" s="10"/>
      <c r="G80" s="10"/>
      <c r="H80" s="10"/>
      <c r="I80" s="33">
        <f t="shared" si="6"/>
        <v>0</v>
      </c>
      <c r="J80" s="7"/>
      <c r="K80" s="10"/>
      <c r="L80" s="31">
        <f t="shared" si="7"/>
        <v>0</v>
      </c>
      <c r="M80" s="7"/>
      <c r="N80" s="7"/>
      <c r="O80" s="39"/>
      <c r="P80" s="15" t="str">
        <f>IF(R80&lt;&gt;0,R80&amp;COUNTIF($R$11:R80,R80),0)</f>
        <v>070</v>
      </c>
      <c r="R80" s="16" t="str">
        <f t="shared" si="8"/>
        <v>0</v>
      </c>
      <c r="S80" s="15">
        <f t="shared" si="9"/>
        <v>0</v>
      </c>
    </row>
    <row r="81" spans="1:19" ht="15.75" x14ac:dyDescent="0.25">
      <c r="A81">
        <f t="shared" si="5"/>
        <v>0</v>
      </c>
      <c r="B81" s="37"/>
      <c r="C81" s="26"/>
      <c r="D81" s="7"/>
      <c r="E81" s="7"/>
      <c r="F81" s="10"/>
      <c r="G81" s="10"/>
      <c r="H81" s="10"/>
      <c r="I81" s="33">
        <f t="shared" si="6"/>
        <v>0</v>
      </c>
      <c r="J81" s="7"/>
      <c r="K81" s="10"/>
      <c r="L81" s="31">
        <f t="shared" si="7"/>
        <v>0</v>
      </c>
      <c r="M81" s="7"/>
      <c r="N81" s="7"/>
      <c r="O81" s="39"/>
      <c r="P81" s="15" t="str">
        <f>IF(R81&lt;&gt;0,R81&amp;COUNTIF($R$11:R81,R81),0)</f>
        <v>071</v>
      </c>
      <c r="R81" s="16" t="str">
        <f t="shared" si="8"/>
        <v>0</v>
      </c>
      <c r="S81" s="15">
        <f t="shared" si="9"/>
        <v>0</v>
      </c>
    </row>
    <row r="82" spans="1:19" ht="15.75" x14ac:dyDescent="0.25">
      <c r="A82">
        <f t="shared" si="5"/>
        <v>0</v>
      </c>
      <c r="B82" s="37"/>
      <c r="C82" s="26"/>
      <c r="D82" s="7"/>
      <c r="E82" s="7"/>
      <c r="F82" s="10"/>
      <c r="G82" s="10"/>
      <c r="H82" s="10"/>
      <c r="I82" s="33">
        <f t="shared" si="6"/>
        <v>0</v>
      </c>
      <c r="J82" s="7"/>
      <c r="K82" s="10"/>
      <c r="L82" s="31">
        <f t="shared" si="7"/>
        <v>0</v>
      </c>
      <c r="M82" s="7"/>
      <c r="N82" s="7"/>
      <c r="O82" s="39"/>
      <c r="P82" s="15" t="str">
        <f>IF(R82&lt;&gt;0,R82&amp;COUNTIF($R$11:R82,R82),0)</f>
        <v>072</v>
      </c>
      <c r="R82" s="16" t="str">
        <f t="shared" si="8"/>
        <v>0</v>
      </c>
      <c r="S82" s="15">
        <f t="shared" si="9"/>
        <v>0</v>
      </c>
    </row>
    <row r="83" spans="1:19" ht="15.75" x14ac:dyDescent="0.25">
      <c r="A83">
        <f t="shared" si="5"/>
        <v>0</v>
      </c>
      <c r="B83" s="37"/>
      <c r="C83" s="26"/>
      <c r="D83" s="7"/>
      <c r="E83" s="7"/>
      <c r="F83" s="10"/>
      <c r="G83" s="10"/>
      <c r="H83" s="10"/>
      <c r="I83" s="33">
        <f t="shared" si="6"/>
        <v>0</v>
      </c>
      <c r="J83" s="7"/>
      <c r="K83" s="10"/>
      <c r="L83" s="31">
        <f t="shared" si="7"/>
        <v>0</v>
      </c>
      <c r="M83" s="7"/>
      <c r="N83" s="7"/>
      <c r="O83" s="39"/>
      <c r="P83" s="15" t="str">
        <f>IF(R83&lt;&gt;0,R83&amp;COUNTIF($R$11:R83,R83),0)</f>
        <v>073</v>
      </c>
      <c r="R83" s="16" t="str">
        <f t="shared" si="8"/>
        <v>0</v>
      </c>
      <c r="S83" s="15">
        <f t="shared" si="9"/>
        <v>0</v>
      </c>
    </row>
    <row r="84" spans="1:19" ht="15.75" x14ac:dyDescent="0.25">
      <c r="A84">
        <f t="shared" si="5"/>
        <v>0</v>
      </c>
      <c r="B84" s="37"/>
      <c r="C84" s="26"/>
      <c r="D84" s="7"/>
      <c r="E84" s="7"/>
      <c r="F84" s="10"/>
      <c r="G84" s="10"/>
      <c r="H84" s="10"/>
      <c r="I84" s="33">
        <f t="shared" si="6"/>
        <v>0</v>
      </c>
      <c r="J84" s="7"/>
      <c r="K84" s="10"/>
      <c r="L84" s="31">
        <f t="shared" si="7"/>
        <v>0</v>
      </c>
      <c r="M84" s="7"/>
      <c r="N84" s="7"/>
      <c r="O84" s="39"/>
      <c r="P84" s="15" t="str">
        <f>IF(R84&lt;&gt;0,R84&amp;COUNTIF($R$11:R84,R84),0)</f>
        <v>074</v>
      </c>
      <c r="R84" s="16" t="str">
        <f t="shared" si="8"/>
        <v>0</v>
      </c>
      <c r="S84" s="15">
        <f t="shared" si="9"/>
        <v>0</v>
      </c>
    </row>
    <row r="85" spans="1:19" ht="15.75" x14ac:dyDescent="0.25">
      <c r="A85">
        <f t="shared" si="5"/>
        <v>0</v>
      </c>
      <c r="B85" s="37"/>
      <c r="C85" s="26"/>
      <c r="D85" s="7"/>
      <c r="E85" s="7"/>
      <c r="F85" s="10"/>
      <c r="G85" s="10"/>
      <c r="H85" s="10"/>
      <c r="I85" s="33">
        <f t="shared" si="6"/>
        <v>0</v>
      </c>
      <c r="J85" s="7"/>
      <c r="K85" s="10"/>
      <c r="L85" s="31">
        <f t="shared" si="7"/>
        <v>0</v>
      </c>
      <c r="M85" s="7"/>
      <c r="N85" s="7"/>
      <c r="O85" s="39"/>
      <c r="P85" s="15" t="str">
        <f>IF(R85&lt;&gt;0,R85&amp;COUNTIF($R$11:R85,R85),0)</f>
        <v>075</v>
      </c>
      <c r="R85" s="16" t="str">
        <f t="shared" si="8"/>
        <v>0</v>
      </c>
      <c r="S85" s="15">
        <f t="shared" si="9"/>
        <v>0</v>
      </c>
    </row>
    <row r="86" spans="1:19" ht="15.75" x14ac:dyDescent="0.25">
      <c r="A86">
        <f t="shared" si="5"/>
        <v>0</v>
      </c>
      <c r="B86" s="37"/>
      <c r="C86" s="26"/>
      <c r="D86" s="7"/>
      <c r="E86" s="7"/>
      <c r="F86" s="10"/>
      <c r="G86" s="10"/>
      <c r="H86" s="10"/>
      <c r="I86" s="33">
        <f t="shared" si="6"/>
        <v>0</v>
      </c>
      <c r="J86" s="7"/>
      <c r="K86" s="10"/>
      <c r="L86" s="31">
        <f t="shared" si="7"/>
        <v>0</v>
      </c>
      <c r="M86" s="7"/>
      <c r="N86" s="7"/>
      <c r="O86" s="39"/>
      <c r="P86" s="15" t="str">
        <f>IF(R86&lt;&gt;0,R86&amp;COUNTIF($R$11:R86,R86),0)</f>
        <v>076</v>
      </c>
      <c r="R86" s="16" t="str">
        <f t="shared" si="8"/>
        <v>0</v>
      </c>
      <c r="S86" s="15">
        <f t="shared" si="9"/>
        <v>0</v>
      </c>
    </row>
    <row r="87" spans="1:19" ht="15.75" x14ac:dyDescent="0.25">
      <c r="A87">
        <f t="shared" si="5"/>
        <v>0</v>
      </c>
      <c r="B87" s="37"/>
      <c r="C87" s="26"/>
      <c r="D87" s="7"/>
      <c r="E87" s="7"/>
      <c r="F87" s="10"/>
      <c r="G87" s="10"/>
      <c r="H87" s="10"/>
      <c r="I87" s="33">
        <f t="shared" si="6"/>
        <v>0</v>
      </c>
      <c r="J87" s="7"/>
      <c r="K87" s="10"/>
      <c r="L87" s="31">
        <f t="shared" si="7"/>
        <v>0</v>
      </c>
      <c r="M87" s="7"/>
      <c r="N87" s="7"/>
      <c r="O87" s="39"/>
      <c r="P87" s="15" t="str">
        <f>IF(R87&lt;&gt;0,R87&amp;COUNTIF($R$11:R87,R87),0)</f>
        <v>077</v>
      </c>
      <c r="R87" s="16" t="str">
        <f t="shared" si="8"/>
        <v>0</v>
      </c>
      <c r="S87" s="15">
        <f t="shared" si="9"/>
        <v>0</v>
      </c>
    </row>
    <row r="88" spans="1:19" ht="15.75" x14ac:dyDescent="0.25">
      <c r="A88">
        <f t="shared" si="5"/>
        <v>0</v>
      </c>
      <c r="B88" s="37"/>
      <c r="C88" s="26"/>
      <c r="D88" s="7"/>
      <c r="E88" s="7"/>
      <c r="F88" s="10"/>
      <c r="G88" s="10"/>
      <c r="H88" s="10"/>
      <c r="I88" s="33">
        <f t="shared" si="6"/>
        <v>0</v>
      </c>
      <c r="J88" s="7"/>
      <c r="K88" s="10"/>
      <c r="L88" s="31">
        <f t="shared" si="7"/>
        <v>0</v>
      </c>
      <c r="M88" s="7"/>
      <c r="N88" s="7"/>
      <c r="O88" s="39"/>
      <c r="P88" s="15" t="str">
        <f>IF(R88&lt;&gt;0,R88&amp;COUNTIF($R$11:R88,R88),0)</f>
        <v>078</v>
      </c>
      <c r="R88" s="16" t="str">
        <f t="shared" si="8"/>
        <v>0</v>
      </c>
      <c r="S88" s="15">
        <f t="shared" si="9"/>
        <v>0</v>
      </c>
    </row>
    <row r="89" spans="1:19" ht="15.75" x14ac:dyDescent="0.25">
      <c r="A89">
        <f t="shared" si="5"/>
        <v>0</v>
      </c>
      <c r="B89" s="37"/>
      <c r="C89" s="26"/>
      <c r="D89" s="7"/>
      <c r="E89" s="7"/>
      <c r="F89" s="10"/>
      <c r="G89" s="10"/>
      <c r="H89" s="10"/>
      <c r="I89" s="33">
        <f t="shared" si="6"/>
        <v>0</v>
      </c>
      <c r="J89" s="7"/>
      <c r="K89" s="10"/>
      <c r="L89" s="31">
        <f t="shared" si="7"/>
        <v>0</v>
      </c>
      <c r="M89" s="7"/>
      <c r="N89" s="7"/>
      <c r="O89" s="39"/>
      <c r="P89" s="15" t="str">
        <f>IF(R89&lt;&gt;0,R89&amp;COUNTIF($R$11:R89,R89),0)</f>
        <v>079</v>
      </c>
      <c r="R89" s="16" t="str">
        <f t="shared" si="8"/>
        <v>0</v>
      </c>
      <c r="S89" s="15">
        <f t="shared" si="9"/>
        <v>0</v>
      </c>
    </row>
    <row r="90" spans="1:19" ht="15.75" x14ac:dyDescent="0.25">
      <c r="A90">
        <f t="shared" si="5"/>
        <v>0</v>
      </c>
      <c r="B90" s="37"/>
      <c r="C90" s="26"/>
      <c r="D90" s="7"/>
      <c r="E90" s="7"/>
      <c r="F90" s="10"/>
      <c r="G90" s="10"/>
      <c r="H90" s="10"/>
      <c r="I90" s="33">
        <f t="shared" si="6"/>
        <v>0</v>
      </c>
      <c r="J90" s="7"/>
      <c r="K90" s="10"/>
      <c r="L90" s="31">
        <f t="shared" si="7"/>
        <v>0</v>
      </c>
      <c r="M90" s="7"/>
      <c r="N90" s="7"/>
      <c r="O90" s="39"/>
      <c r="P90" s="15" t="str">
        <f>IF(R90&lt;&gt;0,R90&amp;COUNTIF($R$11:R90,R90),0)</f>
        <v>080</v>
      </c>
      <c r="R90" s="16" t="str">
        <f t="shared" si="8"/>
        <v>0</v>
      </c>
      <c r="S90" s="15">
        <f t="shared" si="9"/>
        <v>0</v>
      </c>
    </row>
    <row r="91" spans="1:19" ht="15.75" x14ac:dyDescent="0.25">
      <c r="A91">
        <f t="shared" si="5"/>
        <v>0</v>
      </c>
      <c r="B91" s="37"/>
      <c r="C91" s="26"/>
      <c r="D91" s="7"/>
      <c r="E91" s="7"/>
      <c r="F91" s="10"/>
      <c r="G91" s="10"/>
      <c r="H91" s="10"/>
      <c r="I91" s="33">
        <f t="shared" si="6"/>
        <v>0</v>
      </c>
      <c r="J91" s="7"/>
      <c r="K91" s="10"/>
      <c r="L91" s="31">
        <f t="shared" si="7"/>
        <v>0</v>
      </c>
      <c r="M91" s="7"/>
      <c r="N91" s="7"/>
      <c r="O91" s="39"/>
      <c r="P91" s="15" t="str">
        <f>IF(R91&lt;&gt;0,R91&amp;COUNTIF($R$11:R91,R91),0)</f>
        <v>081</v>
      </c>
      <c r="R91" s="16" t="str">
        <f t="shared" si="8"/>
        <v>0</v>
      </c>
      <c r="S91" s="15">
        <f t="shared" si="9"/>
        <v>0</v>
      </c>
    </row>
    <row r="92" spans="1:19" ht="15.75" x14ac:dyDescent="0.25">
      <c r="A92">
        <f t="shared" si="5"/>
        <v>0</v>
      </c>
      <c r="B92" s="37"/>
      <c r="C92" s="26"/>
      <c r="D92" s="7"/>
      <c r="E92" s="7"/>
      <c r="F92" s="10"/>
      <c r="G92" s="10"/>
      <c r="H92" s="10"/>
      <c r="I92" s="33">
        <f t="shared" si="6"/>
        <v>0</v>
      </c>
      <c r="J92" s="7"/>
      <c r="K92" s="10"/>
      <c r="L92" s="31">
        <f t="shared" si="7"/>
        <v>0</v>
      </c>
      <c r="M92" s="7"/>
      <c r="N92" s="7"/>
      <c r="O92" s="39"/>
      <c r="P92" s="15" t="str">
        <f>IF(R92&lt;&gt;0,R92&amp;COUNTIF($R$11:R92,R92),0)</f>
        <v>082</v>
      </c>
      <c r="R92" s="16" t="str">
        <f t="shared" si="8"/>
        <v>0</v>
      </c>
      <c r="S92" s="15">
        <f t="shared" si="9"/>
        <v>0</v>
      </c>
    </row>
    <row r="93" spans="1:19" ht="15.75" x14ac:dyDescent="0.25">
      <c r="A93">
        <f t="shared" si="5"/>
        <v>0</v>
      </c>
      <c r="B93" s="37"/>
      <c r="C93" s="26"/>
      <c r="D93" s="7"/>
      <c r="E93" s="7"/>
      <c r="F93" s="10"/>
      <c r="G93" s="10"/>
      <c r="H93" s="10"/>
      <c r="I93" s="33">
        <f t="shared" si="6"/>
        <v>0</v>
      </c>
      <c r="J93" s="7"/>
      <c r="K93" s="10"/>
      <c r="L93" s="31">
        <f t="shared" si="7"/>
        <v>0</v>
      </c>
      <c r="M93" s="7"/>
      <c r="N93" s="7"/>
      <c r="O93" s="39"/>
      <c r="P93" s="15" t="str">
        <f>IF(R93&lt;&gt;0,R93&amp;COUNTIF($R$11:R93,R93),0)</f>
        <v>083</v>
      </c>
      <c r="R93" s="16" t="str">
        <f t="shared" si="8"/>
        <v>0</v>
      </c>
      <c r="S93" s="15">
        <f t="shared" si="9"/>
        <v>0</v>
      </c>
    </row>
    <row r="94" spans="1:19" ht="15.75" x14ac:dyDescent="0.25">
      <c r="A94">
        <f t="shared" si="5"/>
        <v>0</v>
      </c>
      <c r="B94" s="37"/>
      <c r="C94" s="26"/>
      <c r="D94" s="7"/>
      <c r="E94" s="7"/>
      <c r="F94" s="10"/>
      <c r="G94" s="10"/>
      <c r="H94" s="10"/>
      <c r="I94" s="33">
        <f t="shared" si="6"/>
        <v>0</v>
      </c>
      <c r="J94" s="7"/>
      <c r="K94" s="10"/>
      <c r="L94" s="31">
        <f t="shared" si="7"/>
        <v>0</v>
      </c>
      <c r="M94" s="7"/>
      <c r="N94" s="7"/>
      <c r="O94" s="39"/>
      <c r="P94" s="15" t="str">
        <f>IF(R94&lt;&gt;0,R94&amp;COUNTIF($R$11:R94,R94),0)</f>
        <v>084</v>
      </c>
      <c r="R94" s="16" t="str">
        <f t="shared" si="8"/>
        <v>0</v>
      </c>
      <c r="S94" s="15">
        <f t="shared" si="9"/>
        <v>0</v>
      </c>
    </row>
    <row r="95" spans="1:19" ht="15.75" x14ac:dyDescent="0.25">
      <c r="A95">
        <f t="shared" si="5"/>
        <v>0</v>
      </c>
      <c r="B95" s="37"/>
      <c r="C95" s="26"/>
      <c r="D95" s="7"/>
      <c r="E95" s="7"/>
      <c r="F95" s="10"/>
      <c r="G95" s="10"/>
      <c r="H95" s="10"/>
      <c r="I95" s="33">
        <f t="shared" si="6"/>
        <v>0</v>
      </c>
      <c r="J95" s="7"/>
      <c r="K95" s="10"/>
      <c r="L95" s="31">
        <f t="shared" si="7"/>
        <v>0</v>
      </c>
      <c r="M95" s="7"/>
      <c r="N95" s="7"/>
      <c r="O95" s="39"/>
      <c r="P95" s="15" t="str">
        <f>IF(R95&lt;&gt;0,R95&amp;COUNTIF($R$11:R95,R95),0)</f>
        <v>085</v>
      </c>
      <c r="R95" s="16" t="str">
        <f t="shared" si="8"/>
        <v>0</v>
      </c>
      <c r="S95" s="15">
        <f t="shared" si="9"/>
        <v>0</v>
      </c>
    </row>
    <row r="96" spans="1:19" ht="15.75" x14ac:dyDescent="0.25">
      <c r="A96">
        <f t="shared" si="5"/>
        <v>0</v>
      </c>
      <c r="B96" s="37"/>
      <c r="C96" s="26"/>
      <c r="D96" s="7"/>
      <c r="E96" s="7"/>
      <c r="F96" s="10"/>
      <c r="G96" s="10"/>
      <c r="H96" s="10"/>
      <c r="I96" s="33">
        <f t="shared" si="6"/>
        <v>0</v>
      </c>
      <c r="J96" s="7"/>
      <c r="K96" s="10"/>
      <c r="L96" s="31">
        <f t="shared" si="7"/>
        <v>0</v>
      </c>
      <c r="M96" s="7"/>
      <c r="N96" s="7"/>
      <c r="O96" s="39"/>
      <c r="P96" s="15" t="str">
        <f>IF(R96&lt;&gt;0,R96&amp;COUNTIF($R$11:R96,R96),0)</f>
        <v>086</v>
      </c>
      <c r="R96" s="16" t="str">
        <f t="shared" si="8"/>
        <v>0</v>
      </c>
      <c r="S96" s="15">
        <f t="shared" si="9"/>
        <v>0</v>
      </c>
    </row>
    <row r="97" spans="1:19" ht="15.75" x14ac:dyDescent="0.25">
      <c r="A97">
        <f t="shared" si="5"/>
        <v>0</v>
      </c>
      <c r="B97" s="37"/>
      <c r="C97" s="26"/>
      <c r="D97" s="7"/>
      <c r="E97" s="7"/>
      <c r="F97" s="10"/>
      <c r="G97" s="10"/>
      <c r="H97" s="10"/>
      <c r="I97" s="33">
        <f t="shared" si="6"/>
        <v>0</v>
      </c>
      <c r="J97" s="7"/>
      <c r="K97" s="10"/>
      <c r="L97" s="31">
        <f t="shared" si="7"/>
        <v>0</v>
      </c>
      <c r="M97" s="7"/>
      <c r="N97" s="7"/>
      <c r="O97" s="39"/>
      <c r="P97" s="15" t="str">
        <f>IF(R97&lt;&gt;0,R97&amp;COUNTIF($R$11:R97,R97),0)</f>
        <v>087</v>
      </c>
      <c r="R97" s="16" t="str">
        <f t="shared" si="8"/>
        <v>0</v>
      </c>
      <c r="S97" s="15">
        <f t="shared" si="9"/>
        <v>0</v>
      </c>
    </row>
    <row r="98" spans="1:19" ht="15.75" x14ac:dyDescent="0.25">
      <c r="A98">
        <f t="shared" si="5"/>
        <v>0</v>
      </c>
      <c r="B98" s="37"/>
      <c r="C98" s="26"/>
      <c r="D98" s="7"/>
      <c r="E98" s="7"/>
      <c r="F98" s="10"/>
      <c r="G98" s="10"/>
      <c r="H98" s="10"/>
      <c r="I98" s="33">
        <f t="shared" si="6"/>
        <v>0</v>
      </c>
      <c r="J98" s="7"/>
      <c r="K98" s="10"/>
      <c r="L98" s="31">
        <f t="shared" si="7"/>
        <v>0</v>
      </c>
      <c r="M98" s="7"/>
      <c r="N98" s="7"/>
      <c r="O98" s="39"/>
      <c r="P98" s="15" t="str">
        <f>IF(R98&lt;&gt;0,R98&amp;COUNTIF($R$11:R98,R98),0)</f>
        <v>088</v>
      </c>
      <c r="R98" s="16" t="str">
        <f t="shared" si="8"/>
        <v>0</v>
      </c>
      <c r="S98" s="15">
        <f t="shared" si="9"/>
        <v>0</v>
      </c>
    </row>
    <row r="99" spans="1:19" ht="15.75" x14ac:dyDescent="0.25">
      <c r="A99">
        <f t="shared" si="5"/>
        <v>0</v>
      </c>
      <c r="B99" s="37"/>
      <c r="C99" s="26"/>
      <c r="D99" s="7"/>
      <c r="E99" s="7"/>
      <c r="F99" s="10"/>
      <c r="G99" s="10"/>
      <c r="H99" s="10"/>
      <c r="I99" s="33">
        <f t="shared" si="6"/>
        <v>0</v>
      </c>
      <c r="J99" s="7"/>
      <c r="K99" s="10"/>
      <c r="L99" s="31">
        <f t="shared" si="7"/>
        <v>0</v>
      </c>
      <c r="M99" s="7"/>
      <c r="N99" s="7"/>
      <c r="O99" s="39"/>
      <c r="P99" s="15" t="str">
        <f>IF(R99&lt;&gt;0,R99&amp;COUNTIF($R$11:R99,R99),0)</f>
        <v>089</v>
      </c>
      <c r="R99" s="16" t="str">
        <f t="shared" si="8"/>
        <v>0</v>
      </c>
      <c r="S99" s="15">
        <f t="shared" si="9"/>
        <v>0</v>
      </c>
    </row>
    <row r="100" spans="1:19" ht="15.75" x14ac:dyDescent="0.25">
      <c r="A100">
        <f t="shared" si="5"/>
        <v>0</v>
      </c>
      <c r="B100" s="37"/>
      <c r="C100" s="26"/>
      <c r="D100" s="7"/>
      <c r="E100" s="7"/>
      <c r="F100" s="10"/>
      <c r="G100" s="10"/>
      <c r="H100" s="10"/>
      <c r="I100" s="33">
        <f t="shared" si="6"/>
        <v>0</v>
      </c>
      <c r="J100" s="7"/>
      <c r="K100" s="10"/>
      <c r="L100" s="31">
        <f t="shared" si="7"/>
        <v>0</v>
      </c>
      <c r="M100" s="7"/>
      <c r="N100" s="7"/>
      <c r="O100" s="39"/>
      <c r="P100" s="15" t="str">
        <f>IF(R100&lt;&gt;0,R100&amp;COUNTIF($R$11:R100,R100),0)</f>
        <v>090</v>
      </c>
      <c r="R100" s="16" t="str">
        <f t="shared" si="8"/>
        <v>0</v>
      </c>
      <c r="S100" s="15">
        <f t="shared" si="9"/>
        <v>0</v>
      </c>
    </row>
    <row r="101" spans="1:19" ht="15.75" x14ac:dyDescent="0.25">
      <c r="A101">
        <f t="shared" si="5"/>
        <v>0</v>
      </c>
      <c r="B101" s="37"/>
      <c r="C101" s="26"/>
      <c r="D101" s="7"/>
      <c r="E101" s="7"/>
      <c r="F101" s="10"/>
      <c r="G101" s="10"/>
      <c r="H101" s="10"/>
      <c r="I101" s="33">
        <f t="shared" si="6"/>
        <v>0</v>
      </c>
      <c r="J101" s="7"/>
      <c r="K101" s="10"/>
      <c r="L101" s="31">
        <f t="shared" si="7"/>
        <v>0</v>
      </c>
      <c r="M101" s="7"/>
      <c r="N101" s="7"/>
      <c r="O101" s="39"/>
      <c r="P101" s="15" t="str">
        <f>IF(R101&lt;&gt;0,R101&amp;COUNTIF($R$11:R101,R101),0)</f>
        <v>091</v>
      </c>
      <c r="R101" s="16" t="str">
        <f t="shared" si="8"/>
        <v>0</v>
      </c>
      <c r="S101" s="15">
        <f t="shared" si="9"/>
        <v>0</v>
      </c>
    </row>
    <row r="102" spans="1:19" ht="15.75" x14ac:dyDescent="0.25">
      <c r="A102">
        <f t="shared" si="5"/>
        <v>0</v>
      </c>
      <c r="B102" s="37"/>
      <c r="C102" s="26"/>
      <c r="D102" s="7"/>
      <c r="E102" s="7"/>
      <c r="F102" s="10"/>
      <c r="G102" s="10"/>
      <c r="H102" s="10"/>
      <c r="I102" s="33">
        <f t="shared" si="6"/>
        <v>0</v>
      </c>
      <c r="J102" s="7"/>
      <c r="K102" s="10"/>
      <c r="L102" s="31">
        <f t="shared" si="7"/>
        <v>0</v>
      </c>
      <c r="M102" s="7"/>
      <c r="N102" s="7"/>
      <c r="O102" s="39"/>
      <c r="P102" s="15" t="str">
        <f>IF(R102&lt;&gt;0,R102&amp;COUNTIF($R$11:R102,R102),0)</f>
        <v>092</v>
      </c>
      <c r="R102" s="16" t="str">
        <f t="shared" si="8"/>
        <v>0</v>
      </c>
      <c r="S102" s="15">
        <f t="shared" si="9"/>
        <v>0</v>
      </c>
    </row>
    <row r="103" spans="1:19" ht="15.75" x14ac:dyDescent="0.25">
      <c r="A103">
        <f t="shared" si="5"/>
        <v>0</v>
      </c>
      <c r="B103" s="37"/>
      <c r="C103" s="26"/>
      <c r="D103" s="7"/>
      <c r="E103" s="7"/>
      <c r="F103" s="10"/>
      <c r="G103" s="10"/>
      <c r="H103" s="10"/>
      <c r="I103" s="33">
        <f t="shared" si="6"/>
        <v>0</v>
      </c>
      <c r="J103" s="7"/>
      <c r="K103" s="10"/>
      <c r="L103" s="31">
        <f t="shared" si="7"/>
        <v>0</v>
      </c>
      <c r="M103" s="7"/>
      <c r="N103" s="7"/>
      <c r="O103" s="39"/>
      <c r="P103" s="15" t="str">
        <f>IF(R103&lt;&gt;0,R103&amp;COUNTIF($R$11:R103,R103),0)</f>
        <v>093</v>
      </c>
      <c r="R103" s="16" t="str">
        <f t="shared" si="8"/>
        <v>0</v>
      </c>
      <c r="S103" s="15">
        <f t="shared" si="9"/>
        <v>0</v>
      </c>
    </row>
    <row r="104" spans="1:19" ht="15.75" x14ac:dyDescent="0.25">
      <c r="A104">
        <f t="shared" si="5"/>
        <v>0</v>
      </c>
      <c r="B104" s="37"/>
      <c r="C104" s="26"/>
      <c r="D104" s="7"/>
      <c r="E104" s="7"/>
      <c r="F104" s="10"/>
      <c r="G104" s="10"/>
      <c r="H104" s="10"/>
      <c r="I104" s="33">
        <f t="shared" si="6"/>
        <v>0</v>
      </c>
      <c r="J104" s="7"/>
      <c r="K104" s="10"/>
      <c r="L104" s="31">
        <f t="shared" si="7"/>
        <v>0</v>
      </c>
      <c r="M104" s="7"/>
      <c r="N104" s="7"/>
      <c r="O104" s="39"/>
      <c r="P104" s="15" t="str">
        <f>IF(R104&lt;&gt;0,R104&amp;COUNTIF($R$11:R104,R104),0)</f>
        <v>094</v>
      </c>
      <c r="R104" s="16" t="str">
        <f t="shared" si="8"/>
        <v>0</v>
      </c>
      <c r="S104" s="15">
        <f t="shared" si="9"/>
        <v>0</v>
      </c>
    </row>
    <row r="105" spans="1:19" ht="15.75" x14ac:dyDescent="0.25">
      <c r="A105">
        <f t="shared" si="5"/>
        <v>0</v>
      </c>
      <c r="B105" s="37"/>
      <c r="C105" s="26"/>
      <c r="D105" s="7"/>
      <c r="E105" s="7"/>
      <c r="F105" s="10"/>
      <c r="G105" s="10"/>
      <c r="H105" s="10"/>
      <c r="I105" s="33">
        <f t="shared" si="6"/>
        <v>0</v>
      </c>
      <c r="J105" s="7"/>
      <c r="K105" s="10"/>
      <c r="L105" s="31">
        <f t="shared" si="7"/>
        <v>0</v>
      </c>
      <c r="M105" s="7"/>
      <c r="N105" s="7"/>
      <c r="O105" s="39"/>
      <c r="P105" s="15" t="str">
        <f>IF(R105&lt;&gt;0,R105&amp;COUNTIF($R$11:R105,R105),0)</f>
        <v>095</v>
      </c>
      <c r="R105" s="16" t="str">
        <f t="shared" si="8"/>
        <v>0</v>
      </c>
      <c r="S105" s="15">
        <f t="shared" si="9"/>
        <v>0</v>
      </c>
    </row>
    <row r="106" spans="1:19" ht="15.75" x14ac:dyDescent="0.25">
      <c r="A106">
        <f t="shared" si="5"/>
        <v>0</v>
      </c>
      <c r="B106" s="37"/>
      <c r="C106" s="26"/>
      <c r="D106" s="7"/>
      <c r="E106" s="7"/>
      <c r="F106" s="10"/>
      <c r="G106" s="10"/>
      <c r="H106" s="10"/>
      <c r="I106" s="33">
        <f t="shared" si="6"/>
        <v>0</v>
      </c>
      <c r="J106" s="7"/>
      <c r="K106" s="10"/>
      <c r="L106" s="31">
        <f t="shared" si="7"/>
        <v>0</v>
      </c>
      <c r="M106" s="7"/>
      <c r="N106" s="7"/>
      <c r="O106" s="39"/>
      <c r="P106" s="15" t="str">
        <f>IF(R106&lt;&gt;0,R106&amp;COUNTIF($R$11:R106,R106),0)</f>
        <v>096</v>
      </c>
      <c r="R106" s="16" t="str">
        <f t="shared" si="8"/>
        <v>0</v>
      </c>
      <c r="S106" s="15">
        <f t="shared" si="9"/>
        <v>0</v>
      </c>
    </row>
    <row r="107" spans="1:19" ht="15.75" x14ac:dyDescent="0.25">
      <c r="A107">
        <f t="shared" si="5"/>
        <v>0</v>
      </c>
      <c r="B107" s="37"/>
      <c r="C107" s="26"/>
      <c r="D107" s="7"/>
      <c r="E107" s="7"/>
      <c r="F107" s="10"/>
      <c r="G107" s="10"/>
      <c r="H107" s="10"/>
      <c r="I107" s="33">
        <f t="shared" si="6"/>
        <v>0</v>
      </c>
      <c r="J107" s="7"/>
      <c r="K107" s="10"/>
      <c r="L107" s="31">
        <f t="shared" si="7"/>
        <v>0</v>
      </c>
      <c r="M107" s="7"/>
      <c r="N107" s="7"/>
      <c r="O107" s="39"/>
      <c r="P107" s="15" t="str">
        <f>IF(R107&lt;&gt;0,R107&amp;COUNTIF($R$11:R107,R107),0)</f>
        <v>097</v>
      </c>
      <c r="R107" s="16" t="str">
        <f t="shared" si="8"/>
        <v>0</v>
      </c>
      <c r="S107" s="15">
        <f t="shared" si="9"/>
        <v>0</v>
      </c>
    </row>
    <row r="108" spans="1:19" ht="15.75" x14ac:dyDescent="0.25">
      <c r="A108">
        <f t="shared" si="5"/>
        <v>0</v>
      </c>
      <c r="B108" s="37"/>
      <c r="C108" s="26"/>
      <c r="D108" s="7"/>
      <c r="E108" s="7"/>
      <c r="F108" s="10"/>
      <c r="G108" s="10"/>
      <c r="H108" s="10"/>
      <c r="I108" s="33">
        <f t="shared" si="6"/>
        <v>0</v>
      </c>
      <c r="J108" s="7"/>
      <c r="K108" s="10"/>
      <c r="L108" s="31">
        <f t="shared" si="7"/>
        <v>0</v>
      </c>
      <c r="M108" s="7"/>
      <c r="N108" s="7"/>
      <c r="O108" s="39"/>
      <c r="P108" s="15" t="str">
        <f>IF(R108&lt;&gt;0,R108&amp;COUNTIF($R$11:R108,R108),0)</f>
        <v>098</v>
      </c>
      <c r="R108" s="16" t="str">
        <f t="shared" si="8"/>
        <v>0</v>
      </c>
      <c r="S108" s="15">
        <f t="shared" si="9"/>
        <v>0</v>
      </c>
    </row>
    <row r="109" spans="1:19" ht="15.75" x14ac:dyDescent="0.25">
      <c r="A109">
        <f t="shared" si="5"/>
        <v>0</v>
      </c>
      <c r="B109" s="37"/>
      <c r="C109" s="26"/>
      <c r="D109" s="7"/>
      <c r="E109" s="7"/>
      <c r="F109" s="10"/>
      <c r="G109" s="10"/>
      <c r="H109" s="10"/>
      <c r="I109" s="33">
        <f t="shared" si="6"/>
        <v>0</v>
      </c>
      <c r="J109" s="7"/>
      <c r="K109" s="10"/>
      <c r="L109" s="31">
        <f t="shared" si="7"/>
        <v>0</v>
      </c>
      <c r="M109" s="7"/>
      <c r="N109" s="7"/>
      <c r="O109" s="39"/>
      <c r="P109" s="15" t="str">
        <f>IF(R109&lt;&gt;0,R109&amp;COUNTIF($R$11:R109,R109),0)</f>
        <v>099</v>
      </c>
      <c r="R109" s="16" t="str">
        <f t="shared" si="8"/>
        <v>0</v>
      </c>
      <c r="S109" s="15">
        <f t="shared" si="9"/>
        <v>0</v>
      </c>
    </row>
    <row r="110" spans="1:19" ht="15.75" x14ac:dyDescent="0.25">
      <c r="A110">
        <f t="shared" si="5"/>
        <v>0</v>
      </c>
      <c r="B110" s="37"/>
      <c r="C110" s="26"/>
      <c r="D110" s="7"/>
      <c r="E110" s="7"/>
      <c r="F110" s="10"/>
      <c r="G110" s="10"/>
      <c r="H110" s="10"/>
      <c r="I110" s="33">
        <f t="shared" si="6"/>
        <v>0</v>
      </c>
      <c r="J110" s="7"/>
      <c r="K110" s="10"/>
      <c r="L110" s="31">
        <f t="shared" si="7"/>
        <v>0</v>
      </c>
      <c r="M110" s="7"/>
      <c r="N110" s="7"/>
      <c r="O110" s="39"/>
      <c r="P110" s="15" t="str">
        <f>IF(R110&lt;&gt;0,R110&amp;COUNTIF($R$11:R110,R110),0)</f>
        <v>0100</v>
      </c>
      <c r="R110" s="16" t="str">
        <f t="shared" si="8"/>
        <v>0</v>
      </c>
      <c r="S110" s="15">
        <f t="shared" si="9"/>
        <v>0</v>
      </c>
    </row>
    <row r="111" spans="1:19" ht="15.75" x14ac:dyDescent="0.25">
      <c r="A111">
        <f t="shared" si="5"/>
        <v>0</v>
      </c>
      <c r="B111" s="37"/>
      <c r="C111" s="26"/>
      <c r="D111" s="7"/>
      <c r="E111" s="7"/>
      <c r="F111" s="10"/>
      <c r="G111" s="10"/>
      <c r="H111" s="10"/>
      <c r="I111" s="33">
        <f t="shared" si="6"/>
        <v>0</v>
      </c>
      <c r="J111" s="7"/>
      <c r="K111" s="10"/>
      <c r="L111" s="31">
        <f t="shared" si="7"/>
        <v>0</v>
      </c>
      <c r="M111" s="7"/>
      <c r="N111" s="7"/>
      <c r="O111" s="39"/>
      <c r="P111" s="15" t="str">
        <f>IF(R111&lt;&gt;0,R111&amp;COUNTIF($R$11:R111,R111),0)</f>
        <v>0101</v>
      </c>
      <c r="R111" s="16" t="str">
        <f t="shared" si="8"/>
        <v>0</v>
      </c>
      <c r="S111" s="15">
        <f t="shared" si="9"/>
        <v>0</v>
      </c>
    </row>
    <row r="112" spans="1:19" ht="15.75" x14ac:dyDescent="0.25">
      <c r="A112">
        <f t="shared" si="5"/>
        <v>0</v>
      </c>
      <c r="B112" s="37"/>
      <c r="C112" s="26"/>
      <c r="D112" s="7"/>
      <c r="E112" s="7"/>
      <c r="F112" s="10"/>
      <c r="G112" s="10"/>
      <c r="H112" s="10"/>
      <c r="I112" s="33">
        <f t="shared" si="6"/>
        <v>0</v>
      </c>
      <c r="J112" s="7"/>
      <c r="K112" s="10"/>
      <c r="L112" s="31">
        <f t="shared" si="7"/>
        <v>0</v>
      </c>
      <c r="M112" s="7"/>
      <c r="N112" s="7"/>
      <c r="O112" s="39"/>
      <c r="P112" s="15" t="str">
        <f>IF(R112&lt;&gt;0,R112&amp;COUNTIF($R$11:R112,R112),0)</f>
        <v>0102</v>
      </c>
      <c r="R112" s="16" t="str">
        <f t="shared" si="8"/>
        <v>0</v>
      </c>
      <c r="S112" s="15">
        <f t="shared" si="9"/>
        <v>0</v>
      </c>
    </row>
    <row r="113" spans="1:19" ht="15.75" x14ac:dyDescent="0.25">
      <c r="A113">
        <f t="shared" si="5"/>
        <v>0</v>
      </c>
      <c r="B113" s="37"/>
      <c r="C113" s="26"/>
      <c r="D113" s="7"/>
      <c r="E113" s="7"/>
      <c r="F113" s="10"/>
      <c r="G113" s="10"/>
      <c r="H113" s="10"/>
      <c r="I113" s="33">
        <f t="shared" si="6"/>
        <v>0</v>
      </c>
      <c r="J113" s="7"/>
      <c r="K113" s="10"/>
      <c r="L113" s="31">
        <f t="shared" si="7"/>
        <v>0</v>
      </c>
      <c r="M113" s="7"/>
      <c r="N113" s="7"/>
      <c r="O113" s="39"/>
      <c r="P113" s="15" t="str">
        <f>IF(R113&lt;&gt;0,R113&amp;COUNTIF($R$11:R113,R113),0)</f>
        <v>0103</v>
      </c>
      <c r="R113" s="16" t="str">
        <f t="shared" si="8"/>
        <v>0</v>
      </c>
      <c r="S113" s="15">
        <f t="shared" si="9"/>
        <v>0</v>
      </c>
    </row>
    <row r="114" spans="1:19" ht="15.75" x14ac:dyDescent="0.25">
      <c r="A114">
        <f t="shared" si="5"/>
        <v>0</v>
      </c>
      <c r="B114" s="37"/>
      <c r="C114" s="26"/>
      <c r="D114" s="7"/>
      <c r="E114" s="7"/>
      <c r="F114" s="10"/>
      <c r="G114" s="10"/>
      <c r="H114" s="10"/>
      <c r="I114" s="33">
        <f t="shared" si="6"/>
        <v>0</v>
      </c>
      <c r="J114" s="7"/>
      <c r="K114" s="10"/>
      <c r="L114" s="31">
        <f t="shared" si="7"/>
        <v>0</v>
      </c>
      <c r="M114" s="7"/>
      <c r="N114" s="7"/>
      <c r="O114" s="39"/>
      <c r="P114" s="15" t="str">
        <f>IF(R114&lt;&gt;0,R114&amp;COUNTIF($R$11:R114,R114),0)</f>
        <v>0104</v>
      </c>
      <c r="R114" s="16" t="str">
        <f t="shared" si="8"/>
        <v>0</v>
      </c>
      <c r="S114" s="15">
        <f t="shared" si="9"/>
        <v>0</v>
      </c>
    </row>
    <row r="115" spans="1:19" ht="15.75" x14ac:dyDescent="0.25">
      <c r="A115">
        <f t="shared" si="5"/>
        <v>0</v>
      </c>
      <c r="B115" s="37"/>
      <c r="C115" s="26"/>
      <c r="D115" s="7"/>
      <c r="E115" s="7"/>
      <c r="F115" s="10"/>
      <c r="G115" s="10"/>
      <c r="H115" s="10"/>
      <c r="I115" s="33">
        <f t="shared" si="6"/>
        <v>0</v>
      </c>
      <c r="J115" s="7"/>
      <c r="K115" s="10"/>
      <c r="L115" s="31">
        <f t="shared" si="7"/>
        <v>0</v>
      </c>
      <c r="M115" s="7"/>
      <c r="N115" s="7"/>
      <c r="O115" s="39"/>
      <c r="P115" s="15" t="str">
        <f>IF(R115&lt;&gt;0,R115&amp;COUNTIF($R$11:R115,R115),0)</f>
        <v>0105</v>
      </c>
      <c r="R115" s="16" t="str">
        <f t="shared" si="8"/>
        <v>0</v>
      </c>
      <c r="S115" s="15">
        <f t="shared" si="9"/>
        <v>0</v>
      </c>
    </row>
    <row r="116" spans="1:19" ht="15.75" x14ac:dyDescent="0.25">
      <c r="A116">
        <f t="shared" si="5"/>
        <v>0</v>
      </c>
      <c r="B116" s="37"/>
      <c r="C116" s="26"/>
      <c r="D116" s="7"/>
      <c r="E116" s="7"/>
      <c r="F116" s="10"/>
      <c r="G116" s="10"/>
      <c r="H116" s="10"/>
      <c r="I116" s="33">
        <f t="shared" si="6"/>
        <v>0</v>
      </c>
      <c r="J116" s="7"/>
      <c r="K116" s="10"/>
      <c r="L116" s="31">
        <f t="shared" si="7"/>
        <v>0</v>
      </c>
      <c r="M116" s="7"/>
      <c r="N116" s="7"/>
      <c r="O116" s="39"/>
      <c r="P116" s="15" t="str">
        <f>IF(R116&lt;&gt;0,R116&amp;COUNTIF($R$11:R116,R116),0)</f>
        <v>0106</v>
      </c>
      <c r="R116" s="16" t="str">
        <f t="shared" si="8"/>
        <v>0</v>
      </c>
      <c r="S116" s="15">
        <f t="shared" si="9"/>
        <v>0</v>
      </c>
    </row>
    <row r="117" spans="1:19" ht="15.75" x14ac:dyDescent="0.25">
      <c r="A117">
        <f t="shared" si="5"/>
        <v>0</v>
      </c>
      <c r="B117" s="37"/>
      <c r="C117" s="26"/>
      <c r="D117" s="7"/>
      <c r="E117" s="7"/>
      <c r="F117" s="10"/>
      <c r="G117" s="10"/>
      <c r="H117" s="10"/>
      <c r="I117" s="33">
        <f t="shared" si="6"/>
        <v>0</v>
      </c>
      <c r="J117" s="7"/>
      <c r="K117" s="10"/>
      <c r="L117" s="31">
        <f t="shared" si="7"/>
        <v>0</v>
      </c>
      <c r="M117" s="7"/>
      <c r="N117" s="7"/>
      <c r="O117" s="39"/>
      <c r="P117" s="15" t="str">
        <f>IF(R117&lt;&gt;0,R117&amp;COUNTIF($R$11:R117,R117),0)</f>
        <v>0107</v>
      </c>
      <c r="R117" s="16" t="str">
        <f t="shared" si="8"/>
        <v>0</v>
      </c>
      <c r="S117" s="15">
        <f t="shared" si="9"/>
        <v>0</v>
      </c>
    </row>
    <row r="118" spans="1:19" ht="15.75" x14ac:dyDescent="0.25">
      <c r="A118">
        <f t="shared" si="5"/>
        <v>0</v>
      </c>
      <c r="B118" s="37"/>
      <c r="C118" s="26"/>
      <c r="D118" s="7"/>
      <c r="E118" s="7"/>
      <c r="F118" s="10"/>
      <c r="G118" s="10"/>
      <c r="H118" s="10"/>
      <c r="I118" s="33">
        <f t="shared" si="6"/>
        <v>0</v>
      </c>
      <c r="J118" s="7"/>
      <c r="K118" s="10"/>
      <c r="L118" s="31">
        <f t="shared" si="7"/>
        <v>0</v>
      </c>
      <c r="M118" s="7"/>
      <c r="N118" s="7"/>
      <c r="O118" s="39"/>
      <c r="P118" s="15" t="str">
        <f>IF(R118&lt;&gt;0,R118&amp;COUNTIF($R$11:R118,R118),0)</f>
        <v>0108</v>
      </c>
      <c r="R118" s="16" t="str">
        <f t="shared" si="8"/>
        <v>0</v>
      </c>
      <c r="S118" s="15">
        <f t="shared" si="9"/>
        <v>0</v>
      </c>
    </row>
    <row r="119" spans="1:19" ht="15.75" x14ac:dyDescent="0.25">
      <c r="A119">
        <f t="shared" si="5"/>
        <v>0</v>
      </c>
      <c r="B119" s="37"/>
      <c r="C119" s="26"/>
      <c r="D119" s="7"/>
      <c r="E119" s="7"/>
      <c r="F119" s="10"/>
      <c r="G119" s="10"/>
      <c r="H119" s="10"/>
      <c r="I119" s="33">
        <f t="shared" si="6"/>
        <v>0</v>
      </c>
      <c r="J119" s="7"/>
      <c r="K119" s="10"/>
      <c r="L119" s="31">
        <f t="shared" si="7"/>
        <v>0</v>
      </c>
      <c r="M119" s="7"/>
      <c r="N119" s="7"/>
      <c r="O119" s="39"/>
      <c r="P119" s="15" t="str">
        <f>IF(R119&lt;&gt;0,R119&amp;COUNTIF($R$11:R119,R119),0)</f>
        <v>0109</v>
      </c>
      <c r="R119" s="16" t="str">
        <f t="shared" si="8"/>
        <v>0</v>
      </c>
      <c r="S119" s="15">
        <f t="shared" si="9"/>
        <v>0</v>
      </c>
    </row>
    <row r="120" spans="1:19" ht="15.75" x14ac:dyDescent="0.25">
      <c r="A120">
        <f t="shared" si="5"/>
        <v>0</v>
      </c>
      <c r="B120" s="37"/>
      <c r="C120" s="26"/>
      <c r="D120" s="7"/>
      <c r="E120" s="7"/>
      <c r="F120" s="10"/>
      <c r="G120" s="10"/>
      <c r="H120" s="10"/>
      <c r="I120" s="33">
        <f t="shared" si="6"/>
        <v>0</v>
      </c>
      <c r="J120" s="7"/>
      <c r="K120" s="10"/>
      <c r="L120" s="31">
        <f t="shared" si="7"/>
        <v>0</v>
      </c>
      <c r="M120" s="7"/>
      <c r="N120" s="7"/>
      <c r="O120" s="39"/>
      <c r="P120" s="15" t="str">
        <f>IF(R120&lt;&gt;0,R120&amp;COUNTIF($R$11:R120,R120),0)</f>
        <v>0110</v>
      </c>
      <c r="R120" s="16" t="str">
        <f t="shared" si="8"/>
        <v>0</v>
      </c>
      <c r="S120" s="15">
        <f t="shared" si="9"/>
        <v>0</v>
      </c>
    </row>
    <row r="121" spans="1:19" ht="15.75" x14ac:dyDescent="0.25">
      <c r="A121">
        <f t="shared" si="5"/>
        <v>0</v>
      </c>
      <c r="B121" s="37"/>
      <c r="C121" s="26"/>
      <c r="D121" s="7"/>
      <c r="E121" s="7"/>
      <c r="F121" s="10"/>
      <c r="G121" s="10"/>
      <c r="H121" s="10"/>
      <c r="I121" s="33">
        <f t="shared" si="6"/>
        <v>0</v>
      </c>
      <c r="J121" s="7"/>
      <c r="K121" s="10"/>
      <c r="L121" s="31">
        <f t="shared" si="7"/>
        <v>0</v>
      </c>
      <c r="M121" s="7"/>
      <c r="N121" s="7"/>
      <c r="O121" s="39"/>
      <c r="P121" s="15" t="str">
        <f>IF(R121&lt;&gt;0,R121&amp;COUNTIF($R$11:R121,R121),0)</f>
        <v>0111</v>
      </c>
      <c r="R121" s="16" t="str">
        <f t="shared" si="8"/>
        <v>0</v>
      </c>
      <c r="S121" s="15">
        <f t="shared" si="9"/>
        <v>0</v>
      </c>
    </row>
    <row r="122" spans="1:19" ht="15.75" x14ac:dyDescent="0.25">
      <c r="A122">
        <f t="shared" si="5"/>
        <v>0</v>
      </c>
      <c r="B122" s="37"/>
      <c r="C122" s="26"/>
      <c r="D122" s="7"/>
      <c r="E122" s="7"/>
      <c r="F122" s="10"/>
      <c r="G122" s="10"/>
      <c r="H122" s="10"/>
      <c r="I122" s="33">
        <f t="shared" si="6"/>
        <v>0</v>
      </c>
      <c r="J122" s="7"/>
      <c r="K122" s="10"/>
      <c r="L122" s="31">
        <f t="shared" si="7"/>
        <v>0</v>
      </c>
      <c r="M122" s="7"/>
      <c r="N122" s="7"/>
      <c r="O122" s="39"/>
      <c r="P122" s="15" t="str">
        <f>IF(R122&lt;&gt;0,R122&amp;COUNTIF($R$11:R122,R122),0)</f>
        <v>0112</v>
      </c>
      <c r="R122" s="16" t="str">
        <f t="shared" si="8"/>
        <v>0</v>
      </c>
      <c r="S122" s="15">
        <f t="shared" si="9"/>
        <v>0</v>
      </c>
    </row>
    <row r="123" spans="1:19" ht="15.75" x14ac:dyDescent="0.25">
      <c r="A123">
        <f t="shared" si="5"/>
        <v>0</v>
      </c>
      <c r="B123" s="37"/>
      <c r="C123" s="26"/>
      <c r="D123" s="7"/>
      <c r="E123" s="7"/>
      <c r="F123" s="10"/>
      <c r="G123" s="10"/>
      <c r="H123" s="10"/>
      <c r="I123" s="33">
        <f t="shared" si="6"/>
        <v>0</v>
      </c>
      <c r="J123" s="7"/>
      <c r="K123" s="10"/>
      <c r="L123" s="31">
        <f t="shared" si="7"/>
        <v>0</v>
      </c>
      <c r="M123" s="7"/>
      <c r="N123" s="7"/>
      <c r="O123" s="39"/>
      <c r="P123" s="15" t="str">
        <f>IF(R123&lt;&gt;0,R123&amp;COUNTIF($R$11:R123,R123),0)</f>
        <v>0113</v>
      </c>
      <c r="R123" s="16" t="str">
        <f t="shared" si="8"/>
        <v>0</v>
      </c>
      <c r="S123" s="15">
        <f t="shared" si="9"/>
        <v>0</v>
      </c>
    </row>
    <row r="124" spans="1:19" ht="15.75" x14ac:dyDescent="0.25">
      <c r="A124">
        <f t="shared" si="5"/>
        <v>0</v>
      </c>
      <c r="B124" s="37"/>
      <c r="C124" s="26"/>
      <c r="D124" s="7"/>
      <c r="E124" s="7"/>
      <c r="F124" s="10"/>
      <c r="G124" s="10"/>
      <c r="H124" s="10"/>
      <c r="I124" s="33">
        <f t="shared" si="6"/>
        <v>0</v>
      </c>
      <c r="J124" s="7"/>
      <c r="K124" s="10"/>
      <c r="L124" s="31">
        <f t="shared" si="7"/>
        <v>0</v>
      </c>
      <c r="M124" s="7"/>
      <c r="N124" s="7"/>
      <c r="O124" s="39"/>
      <c r="P124" s="15" t="str">
        <f>IF(R124&lt;&gt;0,R124&amp;COUNTIF($R$11:R124,R124),0)</f>
        <v>0114</v>
      </c>
      <c r="R124" s="16" t="str">
        <f t="shared" si="8"/>
        <v>0</v>
      </c>
      <c r="S124" s="15">
        <f t="shared" si="9"/>
        <v>0</v>
      </c>
    </row>
    <row r="125" spans="1:19" ht="15.75" x14ac:dyDescent="0.25">
      <c r="A125">
        <f t="shared" si="5"/>
        <v>0</v>
      </c>
      <c r="B125" s="37"/>
      <c r="C125" s="26"/>
      <c r="D125" s="7"/>
      <c r="E125" s="7"/>
      <c r="F125" s="10"/>
      <c r="G125" s="10"/>
      <c r="H125" s="10"/>
      <c r="I125" s="33">
        <f t="shared" si="6"/>
        <v>0</v>
      </c>
      <c r="J125" s="7"/>
      <c r="K125" s="10"/>
      <c r="L125" s="31">
        <f t="shared" si="7"/>
        <v>0</v>
      </c>
      <c r="M125" s="7"/>
      <c r="N125" s="7"/>
      <c r="O125" s="39"/>
      <c r="P125" s="15" t="str">
        <f>IF(R125&lt;&gt;0,R125&amp;COUNTIF($R$11:R125,R125),0)</f>
        <v>0115</v>
      </c>
      <c r="R125" s="16" t="str">
        <f t="shared" si="8"/>
        <v>0</v>
      </c>
      <c r="S125" s="15">
        <f t="shared" si="9"/>
        <v>0</v>
      </c>
    </row>
    <row r="126" spans="1:19" ht="15.75" x14ac:dyDescent="0.25">
      <c r="A126">
        <f t="shared" si="5"/>
        <v>0</v>
      </c>
      <c r="B126" s="37"/>
      <c r="C126" s="26"/>
      <c r="D126" s="7"/>
      <c r="E126" s="7"/>
      <c r="F126" s="10"/>
      <c r="G126" s="10"/>
      <c r="H126" s="10"/>
      <c r="I126" s="33">
        <f t="shared" si="6"/>
        <v>0</v>
      </c>
      <c r="J126" s="7"/>
      <c r="K126" s="10"/>
      <c r="L126" s="31">
        <f t="shared" si="7"/>
        <v>0</v>
      </c>
      <c r="M126" s="7"/>
      <c r="N126" s="7"/>
      <c r="O126" s="39"/>
      <c r="P126" s="15" t="str">
        <f>IF(R126&lt;&gt;0,R126&amp;COUNTIF($R$11:R126,R126),0)</f>
        <v>0116</v>
      </c>
      <c r="R126" s="16" t="str">
        <f t="shared" si="8"/>
        <v>0</v>
      </c>
      <c r="S126" s="15">
        <f t="shared" si="9"/>
        <v>0</v>
      </c>
    </row>
    <row r="127" spans="1:19" ht="15.75" x14ac:dyDescent="0.25">
      <c r="A127">
        <f t="shared" si="5"/>
        <v>0</v>
      </c>
      <c r="B127" s="37"/>
      <c r="C127" s="26"/>
      <c r="D127" s="7"/>
      <c r="E127" s="7"/>
      <c r="F127" s="10"/>
      <c r="G127" s="10"/>
      <c r="H127" s="10"/>
      <c r="I127" s="33">
        <f t="shared" si="6"/>
        <v>0</v>
      </c>
      <c r="J127" s="7"/>
      <c r="K127" s="10"/>
      <c r="L127" s="31">
        <f t="shared" si="7"/>
        <v>0</v>
      </c>
      <c r="M127" s="7"/>
      <c r="N127" s="7"/>
      <c r="O127" s="39"/>
      <c r="P127" s="15" t="str">
        <f>IF(R127&lt;&gt;0,R127&amp;COUNTIF($R$11:R127,R127),0)</f>
        <v>0117</v>
      </c>
      <c r="R127" s="16" t="str">
        <f t="shared" si="8"/>
        <v>0</v>
      </c>
      <c r="S127" s="15">
        <f t="shared" si="9"/>
        <v>0</v>
      </c>
    </row>
    <row r="128" spans="1:19" ht="15.75" x14ac:dyDescent="0.25">
      <c r="A128">
        <f t="shared" si="5"/>
        <v>0</v>
      </c>
      <c r="B128" s="37"/>
      <c r="C128" s="26"/>
      <c r="D128" s="7"/>
      <c r="E128" s="7"/>
      <c r="F128" s="10"/>
      <c r="G128" s="10"/>
      <c r="H128" s="10"/>
      <c r="I128" s="33">
        <f t="shared" si="6"/>
        <v>0</v>
      </c>
      <c r="J128" s="7"/>
      <c r="K128" s="10"/>
      <c r="L128" s="31">
        <f t="shared" si="7"/>
        <v>0</v>
      </c>
      <c r="M128" s="7"/>
      <c r="N128" s="7"/>
      <c r="O128" s="39"/>
      <c r="P128" s="15" t="str">
        <f>IF(R128&lt;&gt;0,R128&amp;COUNTIF($R$11:R128,R128),0)</f>
        <v>0118</v>
      </c>
      <c r="R128" s="16" t="str">
        <f t="shared" si="8"/>
        <v>0</v>
      </c>
      <c r="S128" s="15">
        <f t="shared" si="9"/>
        <v>0</v>
      </c>
    </row>
    <row r="129" spans="1:19" ht="15.75" x14ac:dyDescent="0.25">
      <c r="A129">
        <f t="shared" si="5"/>
        <v>0</v>
      </c>
      <c r="B129" s="37"/>
      <c r="C129" s="26"/>
      <c r="D129" s="7"/>
      <c r="E129" s="7"/>
      <c r="F129" s="10"/>
      <c r="G129" s="10"/>
      <c r="H129" s="10"/>
      <c r="I129" s="33">
        <f t="shared" si="6"/>
        <v>0</v>
      </c>
      <c r="J129" s="7"/>
      <c r="K129" s="10"/>
      <c r="L129" s="31">
        <f t="shared" si="7"/>
        <v>0</v>
      </c>
      <c r="M129" s="7"/>
      <c r="N129" s="7"/>
      <c r="O129" s="39"/>
      <c r="P129" s="15" t="str">
        <f>IF(R129&lt;&gt;0,R129&amp;COUNTIF($R$11:R129,R129),0)</f>
        <v>0119</v>
      </c>
      <c r="R129" s="16" t="str">
        <f t="shared" si="8"/>
        <v>0</v>
      </c>
      <c r="S129" s="15">
        <f t="shared" si="9"/>
        <v>0</v>
      </c>
    </row>
    <row r="130" spans="1:19" ht="15.75" x14ac:dyDescent="0.25">
      <c r="A130">
        <f t="shared" si="5"/>
        <v>0</v>
      </c>
      <c r="B130" s="37"/>
      <c r="C130" s="26"/>
      <c r="D130" s="7"/>
      <c r="E130" s="7"/>
      <c r="F130" s="10"/>
      <c r="G130" s="10"/>
      <c r="H130" s="10"/>
      <c r="I130" s="33">
        <f t="shared" si="6"/>
        <v>0</v>
      </c>
      <c r="J130" s="7"/>
      <c r="K130" s="10"/>
      <c r="L130" s="31">
        <f t="shared" si="7"/>
        <v>0</v>
      </c>
      <c r="M130" s="7"/>
      <c r="N130" s="7"/>
      <c r="O130" s="39"/>
      <c r="P130" s="15" t="str">
        <f>IF(R130&lt;&gt;0,R130&amp;COUNTIF($R$11:R130,R130),0)</f>
        <v>0120</v>
      </c>
      <c r="R130" s="16" t="str">
        <f t="shared" si="8"/>
        <v>0</v>
      </c>
      <c r="S130" s="15">
        <f>IF(LEFT(P130,1)="0",0,VALUE(P130))</f>
        <v>0</v>
      </c>
    </row>
    <row r="131" spans="1:19" ht="15.75" x14ac:dyDescent="0.25">
      <c r="A131">
        <f t="shared" si="5"/>
        <v>0</v>
      </c>
      <c r="B131" s="37"/>
      <c r="C131" s="26"/>
      <c r="D131" s="7"/>
      <c r="E131" s="7"/>
      <c r="F131" s="10"/>
      <c r="G131" s="10"/>
      <c r="H131" s="10"/>
      <c r="I131" s="33">
        <f t="shared" si="6"/>
        <v>0</v>
      </c>
      <c r="J131" s="7"/>
      <c r="K131" s="10"/>
      <c r="L131" s="31">
        <f t="shared" si="7"/>
        <v>0</v>
      </c>
      <c r="M131" s="7"/>
      <c r="N131" s="7"/>
      <c r="O131" s="39"/>
      <c r="P131" s="15" t="str">
        <f>IF(R131&lt;&gt;0,R131&amp;COUNTIF($R$11:R131,R131),0)</f>
        <v>0121</v>
      </c>
      <c r="R131" s="16" t="str">
        <f t="shared" si="8"/>
        <v>0</v>
      </c>
      <c r="S131" s="15">
        <f t="shared" ref="S131:S194" si="10">IF(LEFT(P131,1)="0",0,VALUE(P131))</f>
        <v>0</v>
      </c>
    </row>
    <row r="132" spans="1:19" ht="15.75" x14ac:dyDescent="0.25">
      <c r="A132">
        <f t="shared" si="5"/>
        <v>0</v>
      </c>
      <c r="B132" s="37"/>
      <c r="C132" s="26"/>
      <c r="D132" s="7"/>
      <c r="E132" s="7"/>
      <c r="F132" s="10"/>
      <c r="G132" s="10"/>
      <c r="H132" s="10"/>
      <c r="I132" s="33">
        <f t="shared" si="6"/>
        <v>0</v>
      </c>
      <c r="J132" s="7"/>
      <c r="K132" s="10"/>
      <c r="L132" s="31">
        <f t="shared" si="7"/>
        <v>0</v>
      </c>
      <c r="M132" s="7"/>
      <c r="N132" s="7"/>
      <c r="O132" s="39"/>
      <c r="P132" s="15" t="str">
        <f>IF(R132&lt;&gt;0,R132&amp;COUNTIF($R$11:R132,R132),0)</f>
        <v>0122</v>
      </c>
      <c r="R132" s="16" t="str">
        <f t="shared" si="8"/>
        <v>0</v>
      </c>
      <c r="S132" s="15">
        <f t="shared" si="10"/>
        <v>0</v>
      </c>
    </row>
    <row r="133" spans="1:19" ht="15.75" x14ac:dyDescent="0.25">
      <c r="A133">
        <f t="shared" si="5"/>
        <v>0</v>
      </c>
      <c r="B133" s="37"/>
      <c r="C133" s="26"/>
      <c r="D133" s="7"/>
      <c r="E133" s="7"/>
      <c r="F133" s="10"/>
      <c r="G133" s="10"/>
      <c r="H133" s="10"/>
      <c r="I133" s="33">
        <f t="shared" si="6"/>
        <v>0</v>
      </c>
      <c r="J133" s="7"/>
      <c r="K133" s="10"/>
      <c r="L133" s="31">
        <f t="shared" si="7"/>
        <v>0</v>
      </c>
      <c r="M133" s="7"/>
      <c r="N133" s="7"/>
      <c r="O133" s="39"/>
      <c r="P133" s="15" t="str">
        <f>IF(R133&lt;&gt;0,R133&amp;COUNTIF($R$11:R133,R133),0)</f>
        <v>0123</v>
      </c>
      <c r="R133" s="16" t="str">
        <f t="shared" si="8"/>
        <v>0</v>
      </c>
      <c r="S133" s="15">
        <f t="shared" si="10"/>
        <v>0</v>
      </c>
    </row>
    <row r="134" spans="1:19" ht="15.75" x14ac:dyDescent="0.25">
      <c r="A134">
        <f t="shared" si="5"/>
        <v>0</v>
      </c>
      <c r="B134" s="37"/>
      <c r="C134" s="26"/>
      <c r="D134" s="7"/>
      <c r="E134" s="7"/>
      <c r="F134" s="10"/>
      <c r="G134" s="10"/>
      <c r="H134" s="10"/>
      <c r="I134" s="33">
        <f t="shared" si="6"/>
        <v>0</v>
      </c>
      <c r="J134" s="7"/>
      <c r="K134" s="10"/>
      <c r="L134" s="31">
        <f t="shared" si="7"/>
        <v>0</v>
      </c>
      <c r="M134" s="7"/>
      <c r="N134" s="7"/>
      <c r="O134" s="39"/>
      <c r="P134" s="15" t="str">
        <f>IF(R134&lt;&gt;0,R134&amp;COUNTIF($R$11:R134,R134),0)</f>
        <v>0124</v>
      </c>
      <c r="R134" s="16" t="str">
        <f t="shared" si="8"/>
        <v>0</v>
      </c>
      <c r="S134" s="15">
        <f t="shared" si="10"/>
        <v>0</v>
      </c>
    </row>
    <row r="135" spans="1:19" ht="15.75" x14ac:dyDescent="0.25">
      <c r="A135">
        <f t="shared" si="5"/>
        <v>0</v>
      </c>
      <c r="B135" s="37"/>
      <c r="C135" s="26"/>
      <c r="D135" s="7"/>
      <c r="E135" s="7"/>
      <c r="F135" s="10"/>
      <c r="G135" s="10"/>
      <c r="H135" s="10"/>
      <c r="I135" s="33">
        <f t="shared" si="6"/>
        <v>0</v>
      </c>
      <c r="J135" s="7"/>
      <c r="K135" s="10"/>
      <c r="L135" s="31">
        <f t="shared" si="7"/>
        <v>0</v>
      </c>
      <c r="M135" s="7"/>
      <c r="N135" s="7"/>
      <c r="O135" s="39"/>
      <c r="P135" s="15" t="str">
        <f>IF(R135&lt;&gt;0,R135&amp;COUNTIF($R$11:R135,R135),0)</f>
        <v>0125</v>
      </c>
      <c r="R135" s="16" t="str">
        <f t="shared" si="8"/>
        <v>0</v>
      </c>
      <c r="S135" s="15">
        <f t="shared" si="10"/>
        <v>0</v>
      </c>
    </row>
    <row r="136" spans="1:19" ht="15.75" x14ac:dyDescent="0.25">
      <c r="A136">
        <f t="shared" si="5"/>
        <v>0</v>
      </c>
      <c r="B136" s="37"/>
      <c r="C136" s="26"/>
      <c r="D136" s="7"/>
      <c r="E136" s="7"/>
      <c r="F136" s="10"/>
      <c r="G136" s="10"/>
      <c r="H136" s="10"/>
      <c r="I136" s="33">
        <f t="shared" si="6"/>
        <v>0</v>
      </c>
      <c r="J136" s="7"/>
      <c r="K136" s="10"/>
      <c r="L136" s="31">
        <f t="shared" si="7"/>
        <v>0</v>
      </c>
      <c r="M136" s="7"/>
      <c r="N136" s="7"/>
      <c r="O136" s="39"/>
      <c r="P136" s="15" t="str">
        <f>IF(R136&lt;&gt;0,R136&amp;COUNTIF($R$11:R136,R136),0)</f>
        <v>0126</v>
      </c>
      <c r="R136" s="16" t="str">
        <f t="shared" si="8"/>
        <v>0</v>
      </c>
      <c r="S136" s="15">
        <f t="shared" si="10"/>
        <v>0</v>
      </c>
    </row>
    <row r="137" spans="1:19" ht="15.75" x14ac:dyDescent="0.25">
      <c r="A137">
        <f t="shared" si="5"/>
        <v>0</v>
      </c>
      <c r="B137" s="37"/>
      <c r="C137" s="26"/>
      <c r="D137" s="7"/>
      <c r="E137" s="7"/>
      <c r="F137" s="10"/>
      <c r="G137" s="10"/>
      <c r="H137" s="10"/>
      <c r="I137" s="33">
        <f t="shared" si="6"/>
        <v>0</v>
      </c>
      <c r="J137" s="7"/>
      <c r="K137" s="10"/>
      <c r="L137" s="31">
        <f t="shared" si="7"/>
        <v>0</v>
      </c>
      <c r="M137" s="7"/>
      <c r="N137" s="7"/>
      <c r="O137" s="39"/>
      <c r="P137" s="15" t="str">
        <f>IF(R137&lt;&gt;0,R137&amp;COUNTIF($R$11:R137,R137),0)</f>
        <v>0127</v>
      </c>
      <c r="R137" s="16" t="str">
        <f t="shared" si="8"/>
        <v>0</v>
      </c>
      <c r="S137" s="15">
        <f t="shared" si="10"/>
        <v>0</v>
      </c>
    </row>
    <row r="138" spans="1:19" ht="15.75" x14ac:dyDescent="0.25">
      <c r="A138">
        <f t="shared" si="5"/>
        <v>0</v>
      </c>
      <c r="B138" s="37"/>
      <c r="C138" s="26"/>
      <c r="D138" s="7"/>
      <c r="E138" s="7"/>
      <c r="F138" s="10"/>
      <c r="G138" s="10"/>
      <c r="H138" s="10"/>
      <c r="I138" s="33">
        <f t="shared" si="6"/>
        <v>0</v>
      </c>
      <c r="J138" s="7"/>
      <c r="K138" s="10"/>
      <c r="L138" s="31">
        <f t="shared" si="7"/>
        <v>0</v>
      </c>
      <c r="M138" s="7"/>
      <c r="N138" s="7"/>
      <c r="O138" s="39"/>
      <c r="P138" s="15" t="str">
        <f>IF(R138&lt;&gt;0,R138&amp;COUNTIF($R$11:R138,R138),0)</f>
        <v>0128</v>
      </c>
      <c r="R138" s="16" t="str">
        <f t="shared" si="8"/>
        <v>0</v>
      </c>
      <c r="S138" s="15">
        <f t="shared" si="10"/>
        <v>0</v>
      </c>
    </row>
    <row r="139" spans="1:19" ht="15.75" x14ac:dyDescent="0.25">
      <c r="A139">
        <f t="shared" si="5"/>
        <v>0</v>
      </c>
      <c r="B139" s="37"/>
      <c r="C139" s="26"/>
      <c r="D139" s="7"/>
      <c r="E139" s="7"/>
      <c r="F139" s="10"/>
      <c r="G139" s="10"/>
      <c r="H139" s="10"/>
      <c r="I139" s="33">
        <f t="shared" si="6"/>
        <v>0</v>
      </c>
      <c r="J139" s="7"/>
      <c r="K139" s="10"/>
      <c r="L139" s="31">
        <f t="shared" si="7"/>
        <v>0</v>
      </c>
      <c r="M139" s="7"/>
      <c r="N139" s="7"/>
      <c r="O139" s="39"/>
      <c r="P139" s="15" t="str">
        <f>IF(R139&lt;&gt;0,R139&amp;COUNTIF($R$11:R139,R139),0)</f>
        <v>0129</v>
      </c>
      <c r="R139" s="16" t="str">
        <f t="shared" si="8"/>
        <v>0</v>
      </c>
      <c r="S139" s="15">
        <f t="shared" si="10"/>
        <v>0</v>
      </c>
    </row>
    <row r="140" spans="1:19" ht="15.75" x14ac:dyDescent="0.25">
      <c r="A140">
        <f t="shared" ref="A140:A203" si="11">S140</f>
        <v>0</v>
      </c>
      <c r="B140" s="37"/>
      <c r="C140" s="26"/>
      <c r="D140" s="7"/>
      <c r="E140" s="7"/>
      <c r="F140" s="10"/>
      <c r="G140" s="10"/>
      <c r="H140" s="10"/>
      <c r="I140" s="33">
        <f t="shared" ref="I140:I203" si="12">G140+H140</f>
        <v>0</v>
      </c>
      <c r="J140" s="7"/>
      <c r="K140" s="10"/>
      <c r="L140" s="31">
        <f t="shared" ref="L140:L203" si="13">IF(K140=0,0,I140/K140*100)</f>
        <v>0</v>
      </c>
      <c r="M140" s="7"/>
      <c r="N140" s="7"/>
      <c r="O140" s="39"/>
      <c r="P140" s="15" t="str">
        <f>IF(R140&lt;&gt;0,R140&amp;COUNTIF($R$11:R140,R140),0)</f>
        <v>0130</v>
      </c>
      <c r="R140" s="16" t="str">
        <f t="shared" ref="R140:R203" si="14">LEFT(L140,4)</f>
        <v>0</v>
      </c>
      <c r="S140" s="15">
        <f t="shared" si="10"/>
        <v>0</v>
      </c>
    </row>
    <row r="141" spans="1:19" ht="15.75" x14ac:dyDescent="0.25">
      <c r="A141">
        <f t="shared" si="11"/>
        <v>0</v>
      </c>
      <c r="B141" s="37"/>
      <c r="C141" s="26"/>
      <c r="D141" s="7"/>
      <c r="E141" s="7"/>
      <c r="F141" s="10"/>
      <c r="G141" s="10"/>
      <c r="H141" s="10"/>
      <c r="I141" s="33">
        <f t="shared" si="12"/>
        <v>0</v>
      </c>
      <c r="J141" s="7"/>
      <c r="K141" s="10"/>
      <c r="L141" s="31">
        <f t="shared" si="13"/>
        <v>0</v>
      </c>
      <c r="M141" s="7"/>
      <c r="N141" s="7"/>
      <c r="O141" s="39"/>
      <c r="P141" s="15" t="str">
        <f>IF(R141&lt;&gt;0,R141&amp;COUNTIF($R$11:R141,R141),0)</f>
        <v>0131</v>
      </c>
      <c r="R141" s="16" t="str">
        <f t="shared" si="14"/>
        <v>0</v>
      </c>
      <c r="S141" s="15">
        <f t="shared" si="10"/>
        <v>0</v>
      </c>
    </row>
    <row r="142" spans="1:19" ht="15.75" x14ac:dyDescent="0.25">
      <c r="A142">
        <f t="shared" si="11"/>
        <v>0</v>
      </c>
      <c r="B142" s="37"/>
      <c r="C142" s="26"/>
      <c r="D142" s="7"/>
      <c r="E142" s="7"/>
      <c r="F142" s="10"/>
      <c r="G142" s="10"/>
      <c r="H142" s="10"/>
      <c r="I142" s="33">
        <f t="shared" si="12"/>
        <v>0</v>
      </c>
      <c r="J142" s="7"/>
      <c r="K142" s="10"/>
      <c r="L142" s="31">
        <f t="shared" si="13"/>
        <v>0</v>
      </c>
      <c r="M142" s="7"/>
      <c r="N142" s="7"/>
      <c r="O142" s="39"/>
      <c r="P142" s="15" t="str">
        <f>IF(R142&lt;&gt;0,R142&amp;COUNTIF($R$11:R142,R142),0)</f>
        <v>0132</v>
      </c>
      <c r="R142" s="16" t="str">
        <f t="shared" si="14"/>
        <v>0</v>
      </c>
      <c r="S142" s="15">
        <f t="shared" si="10"/>
        <v>0</v>
      </c>
    </row>
    <row r="143" spans="1:19" ht="15.75" x14ac:dyDescent="0.25">
      <c r="A143">
        <f t="shared" si="11"/>
        <v>0</v>
      </c>
      <c r="B143" s="37"/>
      <c r="C143" s="26"/>
      <c r="D143" s="7"/>
      <c r="E143" s="7"/>
      <c r="F143" s="10"/>
      <c r="G143" s="10"/>
      <c r="H143" s="10"/>
      <c r="I143" s="33">
        <f t="shared" si="12"/>
        <v>0</v>
      </c>
      <c r="J143" s="7"/>
      <c r="K143" s="10"/>
      <c r="L143" s="31">
        <f t="shared" si="13"/>
        <v>0</v>
      </c>
      <c r="M143" s="7"/>
      <c r="N143" s="7"/>
      <c r="O143" s="39"/>
      <c r="P143" s="15" t="str">
        <f>IF(R143&lt;&gt;0,R143&amp;COUNTIF($R$11:R143,R143),0)</f>
        <v>0133</v>
      </c>
      <c r="R143" s="16" t="str">
        <f t="shared" si="14"/>
        <v>0</v>
      </c>
      <c r="S143" s="15">
        <f t="shared" si="10"/>
        <v>0</v>
      </c>
    </row>
    <row r="144" spans="1:19" ht="15.75" x14ac:dyDescent="0.25">
      <c r="A144">
        <f t="shared" si="11"/>
        <v>0</v>
      </c>
      <c r="B144" s="37"/>
      <c r="C144" s="26"/>
      <c r="D144" s="7"/>
      <c r="E144" s="7"/>
      <c r="F144" s="10"/>
      <c r="G144" s="10"/>
      <c r="H144" s="10"/>
      <c r="I144" s="33">
        <f t="shared" si="12"/>
        <v>0</v>
      </c>
      <c r="J144" s="7"/>
      <c r="K144" s="10"/>
      <c r="L144" s="31">
        <f t="shared" si="13"/>
        <v>0</v>
      </c>
      <c r="M144" s="7"/>
      <c r="N144" s="7"/>
      <c r="O144" s="39"/>
      <c r="P144" s="15" t="str">
        <f>IF(R144&lt;&gt;0,R144&amp;COUNTIF($R$11:R144,R144),0)</f>
        <v>0134</v>
      </c>
      <c r="R144" s="16" t="str">
        <f t="shared" si="14"/>
        <v>0</v>
      </c>
      <c r="S144" s="15">
        <f t="shared" si="10"/>
        <v>0</v>
      </c>
    </row>
    <row r="145" spans="1:19" ht="15.75" x14ac:dyDescent="0.25">
      <c r="A145">
        <f t="shared" si="11"/>
        <v>0</v>
      </c>
      <c r="B145" s="37"/>
      <c r="C145" s="26"/>
      <c r="D145" s="7"/>
      <c r="E145" s="7"/>
      <c r="F145" s="10"/>
      <c r="G145" s="10"/>
      <c r="H145" s="10"/>
      <c r="I145" s="33">
        <f t="shared" si="12"/>
        <v>0</v>
      </c>
      <c r="J145" s="7"/>
      <c r="K145" s="10"/>
      <c r="L145" s="31">
        <f t="shared" si="13"/>
        <v>0</v>
      </c>
      <c r="M145" s="7"/>
      <c r="N145" s="7"/>
      <c r="O145" s="39"/>
      <c r="P145" s="15" t="str">
        <f>IF(R145&lt;&gt;0,R145&amp;COUNTIF($R$11:R145,R145),0)</f>
        <v>0135</v>
      </c>
      <c r="R145" s="16" t="str">
        <f t="shared" si="14"/>
        <v>0</v>
      </c>
      <c r="S145" s="15">
        <f t="shared" si="10"/>
        <v>0</v>
      </c>
    </row>
    <row r="146" spans="1:19" ht="15.75" x14ac:dyDescent="0.25">
      <c r="A146">
        <f t="shared" si="11"/>
        <v>0</v>
      </c>
      <c r="B146" s="37"/>
      <c r="C146" s="26"/>
      <c r="D146" s="7"/>
      <c r="E146" s="7"/>
      <c r="F146" s="10"/>
      <c r="G146" s="10"/>
      <c r="H146" s="10"/>
      <c r="I146" s="33">
        <f t="shared" si="12"/>
        <v>0</v>
      </c>
      <c r="J146" s="7"/>
      <c r="K146" s="10"/>
      <c r="L146" s="31">
        <f t="shared" si="13"/>
        <v>0</v>
      </c>
      <c r="M146" s="7"/>
      <c r="N146" s="7"/>
      <c r="O146" s="39"/>
      <c r="P146" s="15" t="str">
        <f>IF(R146&lt;&gt;0,R146&amp;COUNTIF($R$11:R146,R146),0)</f>
        <v>0136</v>
      </c>
      <c r="R146" s="16" t="str">
        <f t="shared" si="14"/>
        <v>0</v>
      </c>
      <c r="S146" s="15">
        <f t="shared" si="10"/>
        <v>0</v>
      </c>
    </row>
    <row r="147" spans="1:19" ht="15.75" x14ac:dyDescent="0.25">
      <c r="A147">
        <f t="shared" si="11"/>
        <v>0</v>
      </c>
      <c r="B147" s="37"/>
      <c r="C147" s="26"/>
      <c r="D147" s="7"/>
      <c r="E147" s="7"/>
      <c r="F147" s="10"/>
      <c r="G147" s="10"/>
      <c r="H147" s="10"/>
      <c r="I147" s="33">
        <f t="shared" si="12"/>
        <v>0</v>
      </c>
      <c r="J147" s="7"/>
      <c r="K147" s="10"/>
      <c r="L147" s="31">
        <f t="shared" si="13"/>
        <v>0</v>
      </c>
      <c r="M147" s="7"/>
      <c r="N147" s="7"/>
      <c r="O147" s="39"/>
      <c r="P147" s="15" t="str">
        <f>IF(R147&lt;&gt;0,R147&amp;COUNTIF($R$11:R147,R147),0)</f>
        <v>0137</v>
      </c>
      <c r="R147" s="16" t="str">
        <f t="shared" si="14"/>
        <v>0</v>
      </c>
      <c r="S147" s="15">
        <f t="shared" si="10"/>
        <v>0</v>
      </c>
    </row>
    <row r="148" spans="1:19" ht="15.75" x14ac:dyDescent="0.25">
      <c r="A148">
        <f t="shared" si="11"/>
        <v>0</v>
      </c>
      <c r="B148" s="37"/>
      <c r="C148" s="26"/>
      <c r="D148" s="7"/>
      <c r="E148" s="7"/>
      <c r="F148" s="10"/>
      <c r="G148" s="10"/>
      <c r="H148" s="10"/>
      <c r="I148" s="33">
        <f t="shared" si="12"/>
        <v>0</v>
      </c>
      <c r="J148" s="7"/>
      <c r="K148" s="10"/>
      <c r="L148" s="31">
        <f t="shared" si="13"/>
        <v>0</v>
      </c>
      <c r="M148" s="7"/>
      <c r="N148" s="7"/>
      <c r="O148" s="39"/>
      <c r="P148" s="15" t="str">
        <f>IF(R148&lt;&gt;0,R148&amp;COUNTIF($R$11:R148,R148),0)</f>
        <v>0138</v>
      </c>
      <c r="R148" s="16" t="str">
        <f t="shared" si="14"/>
        <v>0</v>
      </c>
      <c r="S148" s="15">
        <f t="shared" si="10"/>
        <v>0</v>
      </c>
    </row>
    <row r="149" spans="1:19" ht="15.75" x14ac:dyDescent="0.25">
      <c r="A149">
        <f t="shared" si="11"/>
        <v>0</v>
      </c>
      <c r="B149" s="37"/>
      <c r="C149" s="26"/>
      <c r="D149" s="7"/>
      <c r="E149" s="7"/>
      <c r="F149" s="10"/>
      <c r="G149" s="10"/>
      <c r="H149" s="10"/>
      <c r="I149" s="33">
        <f t="shared" si="12"/>
        <v>0</v>
      </c>
      <c r="J149" s="7"/>
      <c r="K149" s="10"/>
      <c r="L149" s="31">
        <f t="shared" si="13"/>
        <v>0</v>
      </c>
      <c r="M149" s="7"/>
      <c r="N149" s="7"/>
      <c r="O149" s="39"/>
      <c r="P149" s="15" t="str">
        <f>IF(R149&lt;&gt;0,R149&amp;COUNTIF($R$11:R149,R149),0)</f>
        <v>0139</v>
      </c>
      <c r="R149" s="16" t="str">
        <f t="shared" si="14"/>
        <v>0</v>
      </c>
      <c r="S149" s="15">
        <f t="shared" si="10"/>
        <v>0</v>
      </c>
    </row>
    <row r="150" spans="1:19" ht="15.75" x14ac:dyDescent="0.25">
      <c r="A150">
        <f t="shared" si="11"/>
        <v>0</v>
      </c>
      <c r="B150" s="37"/>
      <c r="C150" s="26"/>
      <c r="D150" s="7"/>
      <c r="E150" s="7"/>
      <c r="F150" s="10"/>
      <c r="G150" s="10"/>
      <c r="H150" s="10"/>
      <c r="I150" s="33">
        <f t="shared" si="12"/>
        <v>0</v>
      </c>
      <c r="J150" s="7"/>
      <c r="K150" s="10"/>
      <c r="L150" s="31">
        <f t="shared" si="13"/>
        <v>0</v>
      </c>
      <c r="M150" s="7"/>
      <c r="N150" s="7"/>
      <c r="O150" s="39"/>
      <c r="P150" s="15" t="str">
        <f>IF(R150&lt;&gt;0,R150&amp;COUNTIF($R$11:R150,R150),0)</f>
        <v>0140</v>
      </c>
      <c r="R150" s="16" t="str">
        <f t="shared" si="14"/>
        <v>0</v>
      </c>
      <c r="S150" s="15">
        <f t="shared" si="10"/>
        <v>0</v>
      </c>
    </row>
    <row r="151" spans="1:19" ht="15.75" x14ac:dyDescent="0.25">
      <c r="A151">
        <f t="shared" si="11"/>
        <v>0</v>
      </c>
      <c r="B151" s="37"/>
      <c r="C151" s="26"/>
      <c r="D151" s="7"/>
      <c r="E151" s="7"/>
      <c r="F151" s="10"/>
      <c r="G151" s="10"/>
      <c r="H151" s="10"/>
      <c r="I151" s="33">
        <f t="shared" si="12"/>
        <v>0</v>
      </c>
      <c r="J151" s="7"/>
      <c r="K151" s="10"/>
      <c r="L151" s="31">
        <f t="shared" si="13"/>
        <v>0</v>
      </c>
      <c r="M151" s="7"/>
      <c r="N151" s="7"/>
      <c r="O151" s="39"/>
      <c r="P151" s="15" t="str">
        <f>IF(R151&lt;&gt;0,R151&amp;COUNTIF($R$11:R151,R151),0)</f>
        <v>0141</v>
      </c>
      <c r="R151" s="16" t="str">
        <f t="shared" si="14"/>
        <v>0</v>
      </c>
      <c r="S151" s="15">
        <f t="shared" si="10"/>
        <v>0</v>
      </c>
    </row>
    <row r="152" spans="1:19" ht="15.75" x14ac:dyDescent="0.25">
      <c r="A152">
        <f t="shared" si="11"/>
        <v>0</v>
      </c>
      <c r="B152" s="37"/>
      <c r="C152" s="26"/>
      <c r="D152" s="7"/>
      <c r="E152" s="7"/>
      <c r="F152" s="10"/>
      <c r="G152" s="10"/>
      <c r="H152" s="10"/>
      <c r="I152" s="33">
        <f t="shared" si="12"/>
        <v>0</v>
      </c>
      <c r="J152" s="7"/>
      <c r="K152" s="10"/>
      <c r="L152" s="31">
        <f t="shared" si="13"/>
        <v>0</v>
      </c>
      <c r="M152" s="7"/>
      <c r="N152" s="7"/>
      <c r="O152" s="39"/>
      <c r="P152" s="15" t="str">
        <f>IF(R152&lt;&gt;0,R152&amp;COUNTIF($R$11:R152,R152),0)</f>
        <v>0142</v>
      </c>
      <c r="R152" s="16" t="str">
        <f t="shared" si="14"/>
        <v>0</v>
      </c>
      <c r="S152" s="15">
        <f t="shared" si="10"/>
        <v>0</v>
      </c>
    </row>
    <row r="153" spans="1:19" ht="15.75" x14ac:dyDescent="0.25">
      <c r="A153">
        <f t="shared" si="11"/>
        <v>0</v>
      </c>
      <c r="B153" s="37"/>
      <c r="C153" s="26"/>
      <c r="D153" s="7"/>
      <c r="E153" s="7"/>
      <c r="F153" s="10"/>
      <c r="G153" s="10"/>
      <c r="H153" s="10"/>
      <c r="I153" s="33">
        <f t="shared" si="12"/>
        <v>0</v>
      </c>
      <c r="J153" s="7"/>
      <c r="K153" s="10"/>
      <c r="L153" s="31">
        <f t="shared" si="13"/>
        <v>0</v>
      </c>
      <c r="M153" s="7"/>
      <c r="N153" s="7"/>
      <c r="O153" s="39"/>
      <c r="P153" s="15" t="str">
        <f>IF(R153&lt;&gt;0,R153&amp;COUNTIF($R$11:R153,R153),0)</f>
        <v>0143</v>
      </c>
      <c r="R153" s="16" t="str">
        <f t="shared" si="14"/>
        <v>0</v>
      </c>
      <c r="S153" s="15">
        <f t="shared" si="10"/>
        <v>0</v>
      </c>
    </row>
    <row r="154" spans="1:19" ht="15.75" x14ac:dyDescent="0.25">
      <c r="A154">
        <f t="shared" si="11"/>
        <v>0</v>
      </c>
      <c r="B154" s="37"/>
      <c r="C154" s="26"/>
      <c r="D154" s="7"/>
      <c r="E154" s="7"/>
      <c r="F154" s="10"/>
      <c r="G154" s="10"/>
      <c r="H154" s="10"/>
      <c r="I154" s="33">
        <f t="shared" si="12"/>
        <v>0</v>
      </c>
      <c r="J154" s="7"/>
      <c r="K154" s="10"/>
      <c r="L154" s="31">
        <f t="shared" si="13"/>
        <v>0</v>
      </c>
      <c r="M154" s="7"/>
      <c r="N154" s="7"/>
      <c r="O154" s="39"/>
      <c r="P154" s="15" t="str">
        <f>IF(R154&lt;&gt;0,R154&amp;COUNTIF($R$11:R154,R154),0)</f>
        <v>0144</v>
      </c>
      <c r="R154" s="16" t="str">
        <f t="shared" si="14"/>
        <v>0</v>
      </c>
      <c r="S154" s="15">
        <f t="shared" si="10"/>
        <v>0</v>
      </c>
    </row>
    <row r="155" spans="1:19" ht="15.75" x14ac:dyDescent="0.25">
      <c r="A155">
        <f t="shared" si="11"/>
        <v>0</v>
      </c>
      <c r="B155" s="37"/>
      <c r="C155" s="26"/>
      <c r="D155" s="7"/>
      <c r="E155" s="7"/>
      <c r="F155" s="10"/>
      <c r="G155" s="10"/>
      <c r="H155" s="10"/>
      <c r="I155" s="33">
        <f t="shared" si="12"/>
        <v>0</v>
      </c>
      <c r="J155" s="7"/>
      <c r="K155" s="10"/>
      <c r="L155" s="31">
        <f t="shared" si="13"/>
        <v>0</v>
      </c>
      <c r="M155" s="7"/>
      <c r="N155" s="7"/>
      <c r="O155" s="39"/>
      <c r="P155" s="15" t="str">
        <f>IF(R155&lt;&gt;0,R155&amp;COUNTIF($R$11:R155,R155),0)</f>
        <v>0145</v>
      </c>
      <c r="R155" s="16" t="str">
        <f t="shared" si="14"/>
        <v>0</v>
      </c>
      <c r="S155" s="15">
        <f t="shared" si="10"/>
        <v>0</v>
      </c>
    </row>
    <row r="156" spans="1:19" ht="15.75" x14ac:dyDescent="0.25">
      <c r="A156">
        <f t="shared" si="11"/>
        <v>0</v>
      </c>
      <c r="B156" s="37"/>
      <c r="C156" s="26"/>
      <c r="D156" s="7"/>
      <c r="E156" s="7"/>
      <c r="F156" s="10"/>
      <c r="G156" s="10"/>
      <c r="H156" s="10"/>
      <c r="I156" s="33">
        <f t="shared" si="12"/>
        <v>0</v>
      </c>
      <c r="J156" s="7"/>
      <c r="K156" s="10"/>
      <c r="L156" s="31">
        <f t="shared" si="13"/>
        <v>0</v>
      </c>
      <c r="M156" s="7"/>
      <c r="N156" s="7"/>
      <c r="O156" s="39"/>
      <c r="P156" s="15" t="str">
        <f>IF(R156&lt;&gt;0,R156&amp;COUNTIF($R$11:R156,R156),0)</f>
        <v>0146</v>
      </c>
      <c r="R156" s="16" t="str">
        <f t="shared" si="14"/>
        <v>0</v>
      </c>
      <c r="S156" s="15">
        <f t="shared" si="10"/>
        <v>0</v>
      </c>
    </row>
    <row r="157" spans="1:19" ht="15.75" x14ac:dyDescent="0.25">
      <c r="A157">
        <f t="shared" si="11"/>
        <v>0</v>
      </c>
      <c r="B157" s="37"/>
      <c r="C157" s="26"/>
      <c r="D157" s="7"/>
      <c r="E157" s="7"/>
      <c r="F157" s="10"/>
      <c r="G157" s="10"/>
      <c r="H157" s="10"/>
      <c r="I157" s="33">
        <f t="shared" si="12"/>
        <v>0</v>
      </c>
      <c r="J157" s="7"/>
      <c r="K157" s="10"/>
      <c r="L157" s="31">
        <f t="shared" si="13"/>
        <v>0</v>
      </c>
      <c r="M157" s="7"/>
      <c r="N157" s="7"/>
      <c r="O157" s="39"/>
      <c r="P157" s="15" t="str">
        <f>IF(R157&lt;&gt;0,R157&amp;COUNTIF($R$11:R157,R157),0)</f>
        <v>0147</v>
      </c>
      <c r="R157" s="16" t="str">
        <f t="shared" si="14"/>
        <v>0</v>
      </c>
      <c r="S157" s="15">
        <f t="shared" si="10"/>
        <v>0</v>
      </c>
    </row>
    <row r="158" spans="1:19" ht="15.75" x14ac:dyDescent="0.25">
      <c r="A158">
        <f t="shared" si="11"/>
        <v>0</v>
      </c>
      <c r="B158" s="37"/>
      <c r="C158" s="26"/>
      <c r="D158" s="7"/>
      <c r="E158" s="7"/>
      <c r="F158" s="10"/>
      <c r="G158" s="10"/>
      <c r="H158" s="10"/>
      <c r="I158" s="33">
        <f t="shared" si="12"/>
        <v>0</v>
      </c>
      <c r="J158" s="7"/>
      <c r="K158" s="10"/>
      <c r="L158" s="31">
        <f t="shared" si="13"/>
        <v>0</v>
      </c>
      <c r="M158" s="7"/>
      <c r="N158" s="7"/>
      <c r="O158" s="39"/>
      <c r="P158" s="15" t="str">
        <f>IF(R158&lt;&gt;0,R158&amp;COUNTIF($R$11:R158,R158),0)</f>
        <v>0148</v>
      </c>
      <c r="R158" s="16" t="str">
        <f t="shared" si="14"/>
        <v>0</v>
      </c>
      <c r="S158" s="15">
        <f t="shared" si="10"/>
        <v>0</v>
      </c>
    </row>
    <row r="159" spans="1:19" ht="15.75" x14ac:dyDescent="0.25">
      <c r="A159">
        <f t="shared" si="11"/>
        <v>0</v>
      </c>
      <c r="B159" s="37"/>
      <c r="C159" s="26"/>
      <c r="D159" s="7"/>
      <c r="E159" s="7"/>
      <c r="F159" s="10"/>
      <c r="G159" s="10"/>
      <c r="H159" s="10"/>
      <c r="I159" s="33">
        <f t="shared" si="12"/>
        <v>0</v>
      </c>
      <c r="J159" s="7"/>
      <c r="K159" s="10"/>
      <c r="L159" s="31">
        <f t="shared" si="13"/>
        <v>0</v>
      </c>
      <c r="M159" s="7"/>
      <c r="N159" s="7"/>
      <c r="O159" s="39"/>
      <c r="P159" s="15" t="str">
        <f>IF(R159&lt;&gt;0,R159&amp;COUNTIF($R$11:R159,R159),0)</f>
        <v>0149</v>
      </c>
      <c r="R159" s="16" t="str">
        <f t="shared" si="14"/>
        <v>0</v>
      </c>
      <c r="S159" s="15">
        <f t="shared" si="10"/>
        <v>0</v>
      </c>
    </row>
    <row r="160" spans="1:19" ht="15.75" x14ac:dyDescent="0.25">
      <c r="A160">
        <f t="shared" si="11"/>
        <v>0</v>
      </c>
      <c r="B160" s="37"/>
      <c r="C160" s="26"/>
      <c r="D160" s="7"/>
      <c r="E160" s="7"/>
      <c r="F160" s="10"/>
      <c r="G160" s="10"/>
      <c r="H160" s="10"/>
      <c r="I160" s="33">
        <f t="shared" si="12"/>
        <v>0</v>
      </c>
      <c r="J160" s="7"/>
      <c r="K160" s="10"/>
      <c r="L160" s="31">
        <f t="shared" si="13"/>
        <v>0</v>
      </c>
      <c r="M160" s="7"/>
      <c r="N160" s="7"/>
      <c r="O160" s="39"/>
      <c r="P160" s="15" t="str">
        <f>IF(R160&lt;&gt;0,R160&amp;COUNTIF($R$11:R160,R160),0)</f>
        <v>0150</v>
      </c>
      <c r="R160" s="16" t="str">
        <f t="shared" si="14"/>
        <v>0</v>
      </c>
      <c r="S160" s="15">
        <f t="shared" si="10"/>
        <v>0</v>
      </c>
    </row>
    <row r="161" spans="1:19" ht="15.75" x14ac:dyDescent="0.25">
      <c r="A161">
        <f t="shared" si="11"/>
        <v>0</v>
      </c>
      <c r="B161" s="37"/>
      <c r="C161" s="26"/>
      <c r="D161" s="7"/>
      <c r="E161" s="7"/>
      <c r="F161" s="10"/>
      <c r="G161" s="10"/>
      <c r="H161" s="10"/>
      <c r="I161" s="33">
        <f t="shared" si="12"/>
        <v>0</v>
      </c>
      <c r="J161" s="7"/>
      <c r="K161" s="10"/>
      <c r="L161" s="31">
        <f t="shared" si="13"/>
        <v>0</v>
      </c>
      <c r="M161" s="7"/>
      <c r="N161" s="7"/>
      <c r="O161" s="39"/>
      <c r="P161" s="15" t="str">
        <f>IF(R161&lt;&gt;0,R161&amp;COUNTIF($R$11:R161,R161),0)</f>
        <v>0151</v>
      </c>
      <c r="R161" s="16" t="str">
        <f t="shared" si="14"/>
        <v>0</v>
      </c>
      <c r="S161" s="15">
        <f t="shared" si="10"/>
        <v>0</v>
      </c>
    </row>
    <row r="162" spans="1:19" ht="15.75" x14ac:dyDescent="0.25">
      <c r="A162">
        <f t="shared" si="11"/>
        <v>0</v>
      </c>
      <c r="B162" s="37"/>
      <c r="C162" s="26"/>
      <c r="D162" s="7"/>
      <c r="E162" s="7"/>
      <c r="F162" s="10"/>
      <c r="G162" s="10"/>
      <c r="H162" s="10"/>
      <c r="I162" s="33">
        <f t="shared" si="12"/>
        <v>0</v>
      </c>
      <c r="J162" s="7"/>
      <c r="K162" s="10"/>
      <c r="L162" s="31">
        <f t="shared" si="13"/>
        <v>0</v>
      </c>
      <c r="M162" s="7"/>
      <c r="N162" s="7"/>
      <c r="O162" s="39"/>
      <c r="P162" s="15" t="str">
        <f>IF(R162&lt;&gt;0,R162&amp;COUNTIF($R$11:R162,R162),0)</f>
        <v>0152</v>
      </c>
      <c r="R162" s="16" t="str">
        <f t="shared" si="14"/>
        <v>0</v>
      </c>
      <c r="S162" s="15">
        <f t="shared" si="10"/>
        <v>0</v>
      </c>
    </row>
    <row r="163" spans="1:19" ht="15.75" x14ac:dyDescent="0.25">
      <c r="A163">
        <f t="shared" si="11"/>
        <v>0</v>
      </c>
      <c r="B163" s="37"/>
      <c r="C163" s="26"/>
      <c r="D163" s="7"/>
      <c r="E163" s="7"/>
      <c r="F163" s="10"/>
      <c r="G163" s="10"/>
      <c r="H163" s="10"/>
      <c r="I163" s="33">
        <f t="shared" si="12"/>
        <v>0</v>
      </c>
      <c r="J163" s="7"/>
      <c r="K163" s="10"/>
      <c r="L163" s="31">
        <f t="shared" si="13"/>
        <v>0</v>
      </c>
      <c r="M163" s="7"/>
      <c r="N163" s="7"/>
      <c r="O163" s="39"/>
      <c r="P163" s="15" t="str">
        <f>IF(R163&lt;&gt;0,R163&amp;COUNTIF($R$11:R163,R163),0)</f>
        <v>0153</v>
      </c>
      <c r="R163" s="16" t="str">
        <f t="shared" si="14"/>
        <v>0</v>
      </c>
      <c r="S163" s="15">
        <f t="shared" si="10"/>
        <v>0</v>
      </c>
    </row>
    <row r="164" spans="1:19" ht="15.75" x14ac:dyDescent="0.25">
      <c r="A164">
        <f t="shared" si="11"/>
        <v>0</v>
      </c>
      <c r="B164" s="37"/>
      <c r="C164" s="26"/>
      <c r="D164" s="7"/>
      <c r="E164" s="7"/>
      <c r="F164" s="10"/>
      <c r="G164" s="10"/>
      <c r="H164" s="10"/>
      <c r="I164" s="33">
        <f t="shared" si="12"/>
        <v>0</v>
      </c>
      <c r="J164" s="7"/>
      <c r="K164" s="10"/>
      <c r="L164" s="31">
        <f t="shared" si="13"/>
        <v>0</v>
      </c>
      <c r="M164" s="7"/>
      <c r="N164" s="7"/>
      <c r="O164" s="39"/>
      <c r="P164" s="15" t="str">
        <f>IF(R164&lt;&gt;0,R164&amp;COUNTIF($R$11:R164,R164),0)</f>
        <v>0154</v>
      </c>
      <c r="R164" s="16" t="str">
        <f t="shared" si="14"/>
        <v>0</v>
      </c>
      <c r="S164" s="15">
        <f t="shared" si="10"/>
        <v>0</v>
      </c>
    </row>
    <row r="165" spans="1:19" ht="15.75" x14ac:dyDescent="0.25">
      <c r="A165">
        <f t="shared" si="11"/>
        <v>0</v>
      </c>
      <c r="B165" s="37"/>
      <c r="C165" s="26"/>
      <c r="D165" s="7"/>
      <c r="E165" s="7"/>
      <c r="F165" s="10"/>
      <c r="G165" s="10"/>
      <c r="H165" s="10"/>
      <c r="I165" s="33">
        <f t="shared" si="12"/>
        <v>0</v>
      </c>
      <c r="J165" s="7"/>
      <c r="K165" s="10"/>
      <c r="L165" s="31">
        <f t="shared" si="13"/>
        <v>0</v>
      </c>
      <c r="M165" s="7"/>
      <c r="N165" s="7"/>
      <c r="O165" s="39"/>
      <c r="P165" s="15" t="str">
        <f>IF(R165&lt;&gt;0,R165&amp;COUNTIF($R$11:R165,R165),0)</f>
        <v>0155</v>
      </c>
      <c r="R165" s="16" t="str">
        <f t="shared" si="14"/>
        <v>0</v>
      </c>
      <c r="S165" s="15">
        <f t="shared" si="10"/>
        <v>0</v>
      </c>
    </row>
    <row r="166" spans="1:19" ht="15.75" x14ac:dyDescent="0.25">
      <c r="A166">
        <f t="shared" si="11"/>
        <v>0</v>
      </c>
      <c r="B166" s="37"/>
      <c r="C166" s="26"/>
      <c r="D166" s="7"/>
      <c r="E166" s="7"/>
      <c r="F166" s="10"/>
      <c r="G166" s="10"/>
      <c r="H166" s="10"/>
      <c r="I166" s="33">
        <f t="shared" si="12"/>
        <v>0</v>
      </c>
      <c r="J166" s="7"/>
      <c r="K166" s="10"/>
      <c r="L166" s="31">
        <f t="shared" si="13"/>
        <v>0</v>
      </c>
      <c r="M166" s="7"/>
      <c r="N166" s="7"/>
      <c r="O166" s="39"/>
      <c r="P166" s="15" t="str">
        <f>IF(R166&lt;&gt;0,R166&amp;COUNTIF($R$11:R166,R166),0)</f>
        <v>0156</v>
      </c>
      <c r="R166" s="16" t="str">
        <f t="shared" si="14"/>
        <v>0</v>
      </c>
      <c r="S166" s="15">
        <f t="shared" si="10"/>
        <v>0</v>
      </c>
    </row>
    <row r="167" spans="1:19" ht="15.75" x14ac:dyDescent="0.25">
      <c r="A167">
        <f t="shared" si="11"/>
        <v>0</v>
      </c>
      <c r="B167" s="37"/>
      <c r="C167" s="26"/>
      <c r="D167" s="7"/>
      <c r="E167" s="7"/>
      <c r="F167" s="10"/>
      <c r="G167" s="10"/>
      <c r="H167" s="10"/>
      <c r="I167" s="33">
        <f t="shared" si="12"/>
        <v>0</v>
      </c>
      <c r="J167" s="7"/>
      <c r="K167" s="10"/>
      <c r="L167" s="31">
        <f t="shared" si="13"/>
        <v>0</v>
      </c>
      <c r="M167" s="7"/>
      <c r="N167" s="7"/>
      <c r="O167" s="39"/>
      <c r="P167" s="15" t="str">
        <f>IF(R167&lt;&gt;0,R167&amp;COUNTIF($R$11:R167,R167),0)</f>
        <v>0157</v>
      </c>
      <c r="R167" s="16" t="str">
        <f t="shared" si="14"/>
        <v>0</v>
      </c>
      <c r="S167" s="15">
        <f t="shared" si="10"/>
        <v>0</v>
      </c>
    </row>
    <row r="168" spans="1:19" ht="15.75" x14ac:dyDescent="0.25">
      <c r="A168">
        <f t="shared" si="11"/>
        <v>0</v>
      </c>
      <c r="B168" s="37"/>
      <c r="C168" s="26"/>
      <c r="D168" s="7"/>
      <c r="E168" s="7"/>
      <c r="F168" s="10"/>
      <c r="G168" s="10"/>
      <c r="H168" s="10"/>
      <c r="I168" s="33">
        <f t="shared" si="12"/>
        <v>0</v>
      </c>
      <c r="J168" s="7"/>
      <c r="K168" s="10"/>
      <c r="L168" s="31">
        <f t="shared" si="13"/>
        <v>0</v>
      </c>
      <c r="M168" s="7"/>
      <c r="N168" s="7"/>
      <c r="O168" s="39"/>
      <c r="P168" s="15" t="str">
        <f>IF(R168&lt;&gt;0,R168&amp;COUNTIF($R$11:R168,R168),0)</f>
        <v>0158</v>
      </c>
      <c r="R168" s="16" t="str">
        <f t="shared" si="14"/>
        <v>0</v>
      </c>
      <c r="S168" s="15">
        <f t="shared" si="10"/>
        <v>0</v>
      </c>
    </row>
    <row r="169" spans="1:19" ht="15.75" x14ac:dyDescent="0.25">
      <c r="A169">
        <f t="shared" si="11"/>
        <v>0</v>
      </c>
      <c r="B169" s="37"/>
      <c r="C169" s="26"/>
      <c r="D169" s="7"/>
      <c r="E169" s="7"/>
      <c r="F169" s="10"/>
      <c r="G169" s="10"/>
      <c r="H169" s="10"/>
      <c r="I169" s="33">
        <f t="shared" si="12"/>
        <v>0</v>
      </c>
      <c r="J169" s="7"/>
      <c r="K169" s="10"/>
      <c r="L169" s="31">
        <f t="shared" si="13"/>
        <v>0</v>
      </c>
      <c r="M169" s="7"/>
      <c r="N169" s="7"/>
      <c r="O169" s="39"/>
      <c r="P169" s="15" t="str">
        <f>IF(R169&lt;&gt;0,R169&amp;COUNTIF($R$11:R169,R169),0)</f>
        <v>0159</v>
      </c>
      <c r="R169" s="16" t="str">
        <f t="shared" si="14"/>
        <v>0</v>
      </c>
      <c r="S169" s="15">
        <f t="shared" si="10"/>
        <v>0</v>
      </c>
    </row>
    <row r="170" spans="1:19" ht="15.75" x14ac:dyDescent="0.25">
      <c r="A170">
        <f t="shared" si="11"/>
        <v>0</v>
      </c>
      <c r="B170" s="37"/>
      <c r="C170" s="26"/>
      <c r="D170" s="7"/>
      <c r="E170" s="7"/>
      <c r="F170" s="10"/>
      <c r="G170" s="10"/>
      <c r="H170" s="10"/>
      <c r="I170" s="33">
        <f t="shared" si="12"/>
        <v>0</v>
      </c>
      <c r="J170" s="7"/>
      <c r="K170" s="10"/>
      <c r="L170" s="31">
        <f t="shared" si="13"/>
        <v>0</v>
      </c>
      <c r="M170" s="7"/>
      <c r="N170" s="7"/>
      <c r="O170" s="39"/>
      <c r="P170" s="15" t="str">
        <f>IF(R170&lt;&gt;0,R170&amp;COUNTIF($R$11:R170,R170),0)</f>
        <v>0160</v>
      </c>
      <c r="R170" s="16" t="str">
        <f t="shared" si="14"/>
        <v>0</v>
      </c>
      <c r="S170" s="15">
        <f t="shared" si="10"/>
        <v>0</v>
      </c>
    </row>
    <row r="171" spans="1:19" ht="15.75" x14ac:dyDescent="0.25">
      <c r="A171">
        <f t="shared" si="11"/>
        <v>0</v>
      </c>
      <c r="B171" s="37"/>
      <c r="C171" s="26"/>
      <c r="D171" s="7"/>
      <c r="E171" s="7"/>
      <c r="F171" s="10"/>
      <c r="G171" s="10"/>
      <c r="H171" s="10"/>
      <c r="I171" s="33">
        <f t="shared" si="12"/>
        <v>0</v>
      </c>
      <c r="J171" s="7"/>
      <c r="K171" s="10"/>
      <c r="L171" s="31">
        <f t="shared" si="13"/>
        <v>0</v>
      </c>
      <c r="M171" s="7"/>
      <c r="N171" s="7"/>
      <c r="O171" s="39"/>
      <c r="P171" s="15" t="str">
        <f>IF(R171&lt;&gt;0,R171&amp;COUNTIF($R$11:R171,R171),0)</f>
        <v>0161</v>
      </c>
      <c r="R171" s="16" t="str">
        <f t="shared" si="14"/>
        <v>0</v>
      </c>
      <c r="S171" s="15">
        <f t="shared" si="10"/>
        <v>0</v>
      </c>
    </row>
    <row r="172" spans="1:19" ht="15.75" x14ac:dyDescent="0.25">
      <c r="A172">
        <f t="shared" si="11"/>
        <v>0</v>
      </c>
      <c r="B172" s="37"/>
      <c r="C172" s="26"/>
      <c r="D172" s="7"/>
      <c r="E172" s="7"/>
      <c r="F172" s="10"/>
      <c r="G172" s="10"/>
      <c r="H172" s="10"/>
      <c r="I172" s="33">
        <f t="shared" si="12"/>
        <v>0</v>
      </c>
      <c r="J172" s="7"/>
      <c r="K172" s="10"/>
      <c r="L172" s="31">
        <f t="shared" si="13"/>
        <v>0</v>
      </c>
      <c r="M172" s="7"/>
      <c r="N172" s="7"/>
      <c r="O172" s="39"/>
      <c r="P172" s="15" t="str">
        <f>IF(R172&lt;&gt;0,R172&amp;COUNTIF($R$11:R172,R172),0)</f>
        <v>0162</v>
      </c>
      <c r="R172" s="16" t="str">
        <f t="shared" si="14"/>
        <v>0</v>
      </c>
      <c r="S172" s="15">
        <f t="shared" si="10"/>
        <v>0</v>
      </c>
    </row>
    <row r="173" spans="1:19" ht="15.75" x14ac:dyDescent="0.25">
      <c r="A173">
        <f t="shared" si="11"/>
        <v>0</v>
      </c>
      <c r="B173" s="37"/>
      <c r="C173" s="26"/>
      <c r="D173" s="7"/>
      <c r="E173" s="7"/>
      <c r="F173" s="10"/>
      <c r="G173" s="10"/>
      <c r="H173" s="10"/>
      <c r="I173" s="33">
        <f t="shared" si="12"/>
        <v>0</v>
      </c>
      <c r="J173" s="7"/>
      <c r="K173" s="10"/>
      <c r="L173" s="31">
        <f t="shared" si="13"/>
        <v>0</v>
      </c>
      <c r="M173" s="7"/>
      <c r="N173" s="7"/>
      <c r="O173" s="39"/>
      <c r="P173" s="15" t="str">
        <f>IF(R173&lt;&gt;0,R173&amp;COUNTIF($R$11:R173,R173),0)</f>
        <v>0163</v>
      </c>
      <c r="R173" s="16" t="str">
        <f t="shared" si="14"/>
        <v>0</v>
      </c>
      <c r="S173" s="15">
        <f t="shared" si="10"/>
        <v>0</v>
      </c>
    </row>
    <row r="174" spans="1:19" ht="15.75" x14ac:dyDescent="0.25">
      <c r="A174">
        <f t="shared" si="11"/>
        <v>0</v>
      </c>
      <c r="B174" s="37"/>
      <c r="C174" s="26"/>
      <c r="D174" s="7"/>
      <c r="E174" s="7"/>
      <c r="F174" s="10"/>
      <c r="G174" s="10"/>
      <c r="H174" s="10"/>
      <c r="I174" s="33">
        <f t="shared" si="12"/>
        <v>0</v>
      </c>
      <c r="J174" s="7"/>
      <c r="K174" s="10"/>
      <c r="L174" s="31">
        <f t="shared" si="13"/>
        <v>0</v>
      </c>
      <c r="M174" s="7"/>
      <c r="N174" s="7"/>
      <c r="O174" s="39"/>
      <c r="P174" s="15" t="str">
        <f>IF(R174&lt;&gt;0,R174&amp;COUNTIF($R$11:R174,R174),0)</f>
        <v>0164</v>
      </c>
      <c r="R174" s="16" t="str">
        <f t="shared" si="14"/>
        <v>0</v>
      </c>
      <c r="S174" s="15">
        <f t="shared" si="10"/>
        <v>0</v>
      </c>
    </row>
    <row r="175" spans="1:19" ht="15.75" x14ac:dyDescent="0.25">
      <c r="A175">
        <f t="shared" si="11"/>
        <v>0</v>
      </c>
      <c r="B175" s="37"/>
      <c r="C175" s="26"/>
      <c r="D175" s="7"/>
      <c r="E175" s="7"/>
      <c r="F175" s="10"/>
      <c r="G175" s="10"/>
      <c r="H175" s="10"/>
      <c r="I175" s="33">
        <f t="shared" si="12"/>
        <v>0</v>
      </c>
      <c r="J175" s="7"/>
      <c r="K175" s="10"/>
      <c r="L175" s="31">
        <f t="shared" si="13"/>
        <v>0</v>
      </c>
      <c r="M175" s="7"/>
      <c r="N175" s="7"/>
      <c r="O175" s="39"/>
      <c r="P175" s="15" t="str">
        <f>IF(R175&lt;&gt;0,R175&amp;COUNTIF($R$11:R175,R175),0)</f>
        <v>0165</v>
      </c>
      <c r="R175" s="16" t="str">
        <f t="shared" si="14"/>
        <v>0</v>
      </c>
      <c r="S175" s="15">
        <f t="shared" si="10"/>
        <v>0</v>
      </c>
    </row>
    <row r="176" spans="1:19" ht="15.75" x14ac:dyDescent="0.25">
      <c r="A176">
        <f t="shared" si="11"/>
        <v>0</v>
      </c>
      <c r="B176" s="37"/>
      <c r="C176" s="26"/>
      <c r="D176" s="7"/>
      <c r="E176" s="7"/>
      <c r="F176" s="10"/>
      <c r="G176" s="10"/>
      <c r="H176" s="10"/>
      <c r="I176" s="33">
        <f t="shared" si="12"/>
        <v>0</v>
      </c>
      <c r="J176" s="7"/>
      <c r="K176" s="10"/>
      <c r="L176" s="31">
        <f t="shared" si="13"/>
        <v>0</v>
      </c>
      <c r="M176" s="7"/>
      <c r="N176" s="7"/>
      <c r="O176" s="39"/>
      <c r="P176" s="15" t="str">
        <f>IF(R176&lt;&gt;0,R176&amp;COUNTIF($R$11:R176,R176),0)</f>
        <v>0166</v>
      </c>
      <c r="R176" s="16" t="str">
        <f t="shared" si="14"/>
        <v>0</v>
      </c>
      <c r="S176" s="15">
        <f t="shared" si="10"/>
        <v>0</v>
      </c>
    </row>
    <row r="177" spans="1:19" ht="15.75" x14ac:dyDescent="0.25">
      <c r="A177">
        <f t="shared" si="11"/>
        <v>0</v>
      </c>
      <c r="B177" s="37"/>
      <c r="C177" s="26"/>
      <c r="D177" s="7"/>
      <c r="E177" s="7"/>
      <c r="F177" s="10"/>
      <c r="G177" s="10"/>
      <c r="H177" s="10"/>
      <c r="I177" s="33">
        <f t="shared" si="12"/>
        <v>0</v>
      </c>
      <c r="J177" s="7"/>
      <c r="K177" s="10"/>
      <c r="L177" s="31">
        <f t="shared" si="13"/>
        <v>0</v>
      </c>
      <c r="M177" s="7"/>
      <c r="N177" s="7"/>
      <c r="O177" s="39"/>
      <c r="P177" s="15" t="str">
        <f>IF(R177&lt;&gt;0,R177&amp;COUNTIF($R$11:R177,R177),0)</f>
        <v>0167</v>
      </c>
      <c r="R177" s="16" t="str">
        <f t="shared" si="14"/>
        <v>0</v>
      </c>
      <c r="S177" s="15">
        <f t="shared" si="10"/>
        <v>0</v>
      </c>
    </row>
    <row r="178" spans="1:19" ht="15.75" x14ac:dyDescent="0.25">
      <c r="A178">
        <f t="shared" si="11"/>
        <v>0</v>
      </c>
      <c r="B178" s="37"/>
      <c r="C178" s="26"/>
      <c r="D178" s="7"/>
      <c r="E178" s="7"/>
      <c r="F178" s="10"/>
      <c r="G178" s="10"/>
      <c r="H178" s="10"/>
      <c r="I178" s="33">
        <f t="shared" si="12"/>
        <v>0</v>
      </c>
      <c r="J178" s="7"/>
      <c r="K178" s="10"/>
      <c r="L178" s="31">
        <f t="shared" si="13"/>
        <v>0</v>
      </c>
      <c r="M178" s="7"/>
      <c r="N178" s="7"/>
      <c r="O178" s="39"/>
      <c r="P178" s="15" t="str">
        <f>IF(R178&lt;&gt;0,R178&amp;COUNTIF($R$11:R178,R178),0)</f>
        <v>0168</v>
      </c>
      <c r="R178" s="16" t="str">
        <f t="shared" si="14"/>
        <v>0</v>
      </c>
      <c r="S178" s="15">
        <f t="shared" si="10"/>
        <v>0</v>
      </c>
    </row>
    <row r="179" spans="1:19" ht="15.75" x14ac:dyDescent="0.25">
      <c r="A179">
        <f t="shared" si="11"/>
        <v>0</v>
      </c>
      <c r="B179" s="37"/>
      <c r="C179" s="26"/>
      <c r="D179" s="7"/>
      <c r="E179" s="7"/>
      <c r="F179" s="10"/>
      <c r="G179" s="10"/>
      <c r="H179" s="10"/>
      <c r="I179" s="33">
        <f t="shared" si="12"/>
        <v>0</v>
      </c>
      <c r="J179" s="7"/>
      <c r="K179" s="10"/>
      <c r="L179" s="31">
        <f t="shared" si="13"/>
        <v>0</v>
      </c>
      <c r="M179" s="7"/>
      <c r="N179" s="7"/>
      <c r="O179" s="39"/>
      <c r="P179" s="15" t="str">
        <f>IF(R179&lt;&gt;0,R179&amp;COUNTIF($R$11:R179,R179),0)</f>
        <v>0169</v>
      </c>
      <c r="R179" s="16" t="str">
        <f t="shared" si="14"/>
        <v>0</v>
      </c>
      <c r="S179" s="15">
        <f t="shared" si="10"/>
        <v>0</v>
      </c>
    </row>
    <row r="180" spans="1:19" ht="15.75" x14ac:dyDescent="0.25">
      <c r="A180">
        <f t="shared" si="11"/>
        <v>0</v>
      </c>
      <c r="B180" s="37"/>
      <c r="C180" s="26"/>
      <c r="D180" s="7"/>
      <c r="E180" s="7"/>
      <c r="F180" s="10"/>
      <c r="G180" s="10"/>
      <c r="H180" s="10"/>
      <c r="I180" s="33">
        <f t="shared" si="12"/>
        <v>0</v>
      </c>
      <c r="J180" s="7"/>
      <c r="K180" s="10"/>
      <c r="L180" s="31">
        <f t="shared" si="13"/>
        <v>0</v>
      </c>
      <c r="M180" s="7"/>
      <c r="N180" s="7"/>
      <c r="O180" s="39"/>
      <c r="P180" s="15" t="str">
        <f>IF(R180&lt;&gt;0,R180&amp;COUNTIF($R$11:R180,R180),0)</f>
        <v>0170</v>
      </c>
      <c r="R180" s="16" t="str">
        <f t="shared" si="14"/>
        <v>0</v>
      </c>
      <c r="S180" s="15">
        <f t="shared" si="10"/>
        <v>0</v>
      </c>
    </row>
    <row r="181" spans="1:19" ht="15.75" x14ac:dyDescent="0.25">
      <c r="A181">
        <f t="shared" si="11"/>
        <v>0</v>
      </c>
      <c r="B181" s="37"/>
      <c r="C181" s="26"/>
      <c r="D181" s="7"/>
      <c r="E181" s="7"/>
      <c r="F181" s="10"/>
      <c r="G181" s="10"/>
      <c r="H181" s="10"/>
      <c r="I181" s="33">
        <f t="shared" si="12"/>
        <v>0</v>
      </c>
      <c r="J181" s="7"/>
      <c r="K181" s="10"/>
      <c r="L181" s="31">
        <f t="shared" si="13"/>
        <v>0</v>
      </c>
      <c r="M181" s="7"/>
      <c r="N181" s="7"/>
      <c r="O181" s="39"/>
      <c r="P181" s="15" t="str">
        <f>IF(R181&lt;&gt;0,R181&amp;COUNTIF($R$11:R181,R181),0)</f>
        <v>0171</v>
      </c>
      <c r="R181" s="16" t="str">
        <f t="shared" si="14"/>
        <v>0</v>
      </c>
      <c r="S181" s="15">
        <f t="shared" si="10"/>
        <v>0</v>
      </c>
    </row>
    <row r="182" spans="1:19" ht="15.75" x14ac:dyDescent="0.25">
      <c r="A182">
        <f t="shared" si="11"/>
        <v>0</v>
      </c>
      <c r="B182" s="37"/>
      <c r="C182" s="26"/>
      <c r="D182" s="7"/>
      <c r="E182" s="7"/>
      <c r="F182" s="10"/>
      <c r="G182" s="10"/>
      <c r="H182" s="10"/>
      <c r="I182" s="33">
        <f t="shared" si="12"/>
        <v>0</v>
      </c>
      <c r="J182" s="7"/>
      <c r="K182" s="10"/>
      <c r="L182" s="31">
        <f t="shared" si="13"/>
        <v>0</v>
      </c>
      <c r="M182" s="7"/>
      <c r="N182" s="7"/>
      <c r="O182" s="39"/>
      <c r="P182" s="15" t="str">
        <f>IF(R182&lt;&gt;0,R182&amp;COUNTIF($R$11:R182,R182),0)</f>
        <v>0172</v>
      </c>
      <c r="R182" s="16" t="str">
        <f t="shared" si="14"/>
        <v>0</v>
      </c>
      <c r="S182" s="15">
        <f t="shared" si="10"/>
        <v>0</v>
      </c>
    </row>
    <row r="183" spans="1:19" ht="15.75" x14ac:dyDescent="0.25">
      <c r="A183">
        <f t="shared" si="11"/>
        <v>0</v>
      </c>
      <c r="B183" s="37"/>
      <c r="C183" s="26"/>
      <c r="D183" s="7"/>
      <c r="E183" s="7"/>
      <c r="F183" s="10"/>
      <c r="G183" s="10"/>
      <c r="H183" s="10"/>
      <c r="I183" s="33">
        <f t="shared" si="12"/>
        <v>0</v>
      </c>
      <c r="J183" s="7"/>
      <c r="K183" s="10"/>
      <c r="L183" s="31">
        <f t="shared" si="13"/>
        <v>0</v>
      </c>
      <c r="M183" s="7"/>
      <c r="N183" s="7"/>
      <c r="O183" s="39"/>
      <c r="P183" s="15" t="str">
        <f>IF(R183&lt;&gt;0,R183&amp;COUNTIF($R$11:R183,R183),0)</f>
        <v>0173</v>
      </c>
      <c r="R183" s="16" t="str">
        <f t="shared" si="14"/>
        <v>0</v>
      </c>
      <c r="S183" s="15">
        <f t="shared" si="10"/>
        <v>0</v>
      </c>
    </row>
    <row r="184" spans="1:19" ht="15.75" x14ac:dyDescent="0.25">
      <c r="A184">
        <f t="shared" si="11"/>
        <v>0</v>
      </c>
      <c r="B184" s="37"/>
      <c r="C184" s="26"/>
      <c r="D184" s="7"/>
      <c r="E184" s="7"/>
      <c r="F184" s="10"/>
      <c r="G184" s="10"/>
      <c r="H184" s="10"/>
      <c r="I184" s="33">
        <f t="shared" si="12"/>
        <v>0</v>
      </c>
      <c r="J184" s="7"/>
      <c r="K184" s="10"/>
      <c r="L184" s="31">
        <f t="shared" si="13"/>
        <v>0</v>
      </c>
      <c r="M184" s="7"/>
      <c r="N184" s="7"/>
      <c r="O184" s="39"/>
      <c r="P184" s="15" t="str">
        <f>IF(R184&lt;&gt;0,R184&amp;COUNTIF($R$11:R184,R184),0)</f>
        <v>0174</v>
      </c>
      <c r="R184" s="16" t="str">
        <f t="shared" si="14"/>
        <v>0</v>
      </c>
      <c r="S184" s="15">
        <f t="shared" si="10"/>
        <v>0</v>
      </c>
    </row>
    <row r="185" spans="1:19" ht="15.75" x14ac:dyDescent="0.25">
      <c r="A185">
        <f t="shared" si="11"/>
        <v>0</v>
      </c>
      <c r="B185" s="37"/>
      <c r="C185" s="26"/>
      <c r="D185" s="7"/>
      <c r="E185" s="7"/>
      <c r="F185" s="10"/>
      <c r="G185" s="10"/>
      <c r="H185" s="10"/>
      <c r="I185" s="33">
        <f t="shared" si="12"/>
        <v>0</v>
      </c>
      <c r="J185" s="7"/>
      <c r="K185" s="10"/>
      <c r="L185" s="31">
        <f t="shared" si="13"/>
        <v>0</v>
      </c>
      <c r="M185" s="7"/>
      <c r="N185" s="7"/>
      <c r="O185" s="39"/>
      <c r="P185" s="15" t="str">
        <f>IF(R185&lt;&gt;0,R185&amp;COUNTIF($R$11:R185,R185),0)</f>
        <v>0175</v>
      </c>
      <c r="R185" s="16" t="str">
        <f t="shared" si="14"/>
        <v>0</v>
      </c>
      <c r="S185" s="15">
        <f t="shared" si="10"/>
        <v>0</v>
      </c>
    </row>
    <row r="186" spans="1:19" ht="15.75" x14ac:dyDescent="0.25">
      <c r="A186">
        <f t="shared" si="11"/>
        <v>0</v>
      </c>
      <c r="B186" s="37"/>
      <c r="C186" s="26"/>
      <c r="D186" s="7"/>
      <c r="E186" s="7"/>
      <c r="F186" s="10"/>
      <c r="G186" s="10"/>
      <c r="H186" s="10"/>
      <c r="I186" s="33">
        <f t="shared" si="12"/>
        <v>0</v>
      </c>
      <c r="J186" s="7"/>
      <c r="K186" s="10"/>
      <c r="L186" s="31">
        <f t="shared" si="13"/>
        <v>0</v>
      </c>
      <c r="M186" s="7"/>
      <c r="N186" s="7"/>
      <c r="O186" s="39"/>
      <c r="P186" s="15" t="str">
        <f>IF(R186&lt;&gt;0,R186&amp;COUNTIF($R$11:R186,R186),0)</f>
        <v>0176</v>
      </c>
      <c r="R186" s="16" t="str">
        <f t="shared" si="14"/>
        <v>0</v>
      </c>
      <c r="S186" s="15">
        <f t="shared" si="10"/>
        <v>0</v>
      </c>
    </row>
    <row r="187" spans="1:19" ht="15.75" x14ac:dyDescent="0.25">
      <c r="A187">
        <f t="shared" si="11"/>
        <v>0</v>
      </c>
      <c r="B187" s="37"/>
      <c r="C187" s="26"/>
      <c r="D187" s="7"/>
      <c r="E187" s="7"/>
      <c r="F187" s="10"/>
      <c r="G187" s="10"/>
      <c r="H187" s="10"/>
      <c r="I187" s="33">
        <f t="shared" si="12"/>
        <v>0</v>
      </c>
      <c r="J187" s="7"/>
      <c r="K187" s="10"/>
      <c r="L187" s="31">
        <f t="shared" si="13"/>
        <v>0</v>
      </c>
      <c r="M187" s="7"/>
      <c r="N187" s="7"/>
      <c r="O187" s="39"/>
      <c r="P187" s="15" t="str">
        <f>IF(R187&lt;&gt;0,R187&amp;COUNTIF($R$11:R187,R187),0)</f>
        <v>0177</v>
      </c>
      <c r="R187" s="16" t="str">
        <f t="shared" si="14"/>
        <v>0</v>
      </c>
      <c r="S187" s="15">
        <f t="shared" si="10"/>
        <v>0</v>
      </c>
    </row>
    <row r="188" spans="1:19" ht="15.75" x14ac:dyDescent="0.25">
      <c r="A188">
        <f t="shared" si="11"/>
        <v>0</v>
      </c>
      <c r="B188" s="37"/>
      <c r="C188" s="26"/>
      <c r="D188" s="7"/>
      <c r="E188" s="7"/>
      <c r="F188" s="10"/>
      <c r="G188" s="10"/>
      <c r="H188" s="10"/>
      <c r="I188" s="33">
        <f t="shared" si="12"/>
        <v>0</v>
      </c>
      <c r="J188" s="7"/>
      <c r="K188" s="10"/>
      <c r="L188" s="31">
        <f t="shared" si="13"/>
        <v>0</v>
      </c>
      <c r="M188" s="7"/>
      <c r="N188" s="7"/>
      <c r="O188" s="39"/>
      <c r="P188" s="15" t="str">
        <f>IF(R188&lt;&gt;0,R188&amp;COUNTIF($R$11:R188,R188),0)</f>
        <v>0178</v>
      </c>
      <c r="R188" s="16" t="str">
        <f t="shared" si="14"/>
        <v>0</v>
      </c>
      <c r="S188" s="15">
        <f t="shared" si="10"/>
        <v>0</v>
      </c>
    </row>
    <row r="189" spans="1:19" ht="15.75" x14ac:dyDescent="0.25">
      <c r="A189">
        <f t="shared" si="11"/>
        <v>0</v>
      </c>
      <c r="B189" s="37"/>
      <c r="C189" s="26"/>
      <c r="D189" s="7"/>
      <c r="E189" s="7"/>
      <c r="F189" s="10"/>
      <c r="G189" s="10"/>
      <c r="H189" s="10"/>
      <c r="I189" s="33">
        <f t="shared" si="12"/>
        <v>0</v>
      </c>
      <c r="J189" s="7"/>
      <c r="K189" s="10"/>
      <c r="L189" s="31">
        <f t="shared" si="13"/>
        <v>0</v>
      </c>
      <c r="M189" s="7"/>
      <c r="N189" s="7"/>
      <c r="O189" s="39"/>
      <c r="P189" s="15" t="str">
        <f>IF(R189&lt;&gt;0,R189&amp;COUNTIF($R$11:R189,R189),0)</f>
        <v>0179</v>
      </c>
      <c r="R189" s="16" t="str">
        <f t="shared" si="14"/>
        <v>0</v>
      </c>
      <c r="S189" s="15">
        <f t="shared" si="10"/>
        <v>0</v>
      </c>
    </row>
    <row r="190" spans="1:19" ht="15.75" x14ac:dyDescent="0.25">
      <c r="A190">
        <f t="shared" si="11"/>
        <v>0</v>
      </c>
      <c r="B190" s="37"/>
      <c r="C190" s="26"/>
      <c r="D190" s="7"/>
      <c r="E190" s="7"/>
      <c r="F190" s="10"/>
      <c r="G190" s="10"/>
      <c r="H190" s="10"/>
      <c r="I190" s="33">
        <f t="shared" si="12"/>
        <v>0</v>
      </c>
      <c r="J190" s="7"/>
      <c r="K190" s="10"/>
      <c r="L190" s="31">
        <f t="shared" si="13"/>
        <v>0</v>
      </c>
      <c r="M190" s="7"/>
      <c r="N190" s="7"/>
      <c r="O190" s="39"/>
      <c r="P190" s="15" t="str">
        <f>IF(R190&lt;&gt;0,R190&amp;COUNTIF($R$11:R190,R190),0)</f>
        <v>0180</v>
      </c>
      <c r="R190" s="16" t="str">
        <f t="shared" si="14"/>
        <v>0</v>
      </c>
      <c r="S190" s="15">
        <f t="shared" si="10"/>
        <v>0</v>
      </c>
    </row>
    <row r="191" spans="1:19" ht="15.75" x14ac:dyDescent="0.25">
      <c r="A191">
        <f t="shared" si="11"/>
        <v>0</v>
      </c>
      <c r="B191" s="37"/>
      <c r="C191" s="26"/>
      <c r="D191" s="7"/>
      <c r="E191" s="7"/>
      <c r="F191" s="10"/>
      <c r="G191" s="10"/>
      <c r="H191" s="10"/>
      <c r="I191" s="33">
        <f t="shared" si="12"/>
        <v>0</v>
      </c>
      <c r="J191" s="7"/>
      <c r="K191" s="10"/>
      <c r="L191" s="31">
        <f t="shared" si="13"/>
        <v>0</v>
      </c>
      <c r="M191" s="7"/>
      <c r="N191" s="7"/>
      <c r="O191" s="39"/>
      <c r="P191" s="15" t="str">
        <f>IF(R191&lt;&gt;0,R191&amp;COUNTIF($R$11:R191,R191),0)</f>
        <v>0181</v>
      </c>
      <c r="R191" s="16" t="str">
        <f t="shared" si="14"/>
        <v>0</v>
      </c>
      <c r="S191" s="15">
        <f t="shared" si="10"/>
        <v>0</v>
      </c>
    </row>
    <row r="192" spans="1:19" ht="15.75" x14ac:dyDescent="0.25">
      <c r="A192">
        <f t="shared" si="11"/>
        <v>0</v>
      </c>
      <c r="B192" s="37"/>
      <c r="C192" s="26"/>
      <c r="D192" s="7"/>
      <c r="E192" s="7"/>
      <c r="F192" s="10"/>
      <c r="G192" s="10"/>
      <c r="H192" s="10"/>
      <c r="I192" s="33">
        <f t="shared" si="12"/>
        <v>0</v>
      </c>
      <c r="J192" s="7"/>
      <c r="K192" s="10"/>
      <c r="L192" s="31">
        <f t="shared" si="13"/>
        <v>0</v>
      </c>
      <c r="M192" s="7"/>
      <c r="N192" s="7"/>
      <c r="O192" s="39"/>
      <c r="P192" s="15" t="str">
        <f>IF(R192&lt;&gt;0,R192&amp;COUNTIF($R$11:R192,R192),0)</f>
        <v>0182</v>
      </c>
      <c r="R192" s="16" t="str">
        <f t="shared" si="14"/>
        <v>0</v>
      </c>
      <c r="S192" s="15">
        <f t="shared" si="10"/>
        <v>0</v>
      </c>
    </row>
    <row r="193" spans="1:19" ht="15.75" x14ac:dyDescent="0.25">
      <c r="A193">
        <f t="shared" si="11"/>
        <v>0</v>
      </c>
      <c r="B193" s="37"/>
      <c r="C193" s="26"/>
      <c r="D193" s="7"/>
      <c r="E193" s="7"/>
      <c r="F193" s="10"/>
      <c r="G193" s="10"/>
      <c r="H193" s="10"/>
      <c r="I193" s="33">
        <f t="shared" si="12"/>
        <v>0</v>
      </c>
      <c r="J193" s="7"/>
      <c r="K193" s="10"/>
      <c r="L193" s="31">
        <f t="shared" si="13"/>
        <v>0</v>
      </c>
      <c r="M193" s="7"/>
      <c r="N193" s="7"/>
      <c r="O193" s="39"/>
      <c r="P193" s="15" t="str">
        <f>IF(R193&lt;&gt;0,R193&amp;COUNTIF($R$11:R193,R193),0)</f>
        <v>0183</v>
      </c>
      <c r="R193" s="16" t="str">
        <f t="shared" si="14"/>
        <v>0</v>
      </c>
      <c r="S193" s="15">
        <f t="shared" si="10"/>
        <v>0</v>
      </c>
    </row>
    <row r="194" spans="1:19" ht="15.75" x14ac:dyDescent="0.25">
      <c r="A194">
        <f t="shared" si="11"/>
        <v>0</v>
      </c>
      <c r="B194" s="37"/>
      <c r="C194" s="26"/>
      <c r="D194" s="7"/>
      <c r="E194" s="7"/>
      <c r="F194" s="10"/>
      <c r="G194" s="10"/>
      <c r="H194" s="10"/>
      <c r="I194" s="33">
        <f t="shared" si="12"/>
        <v>0</v>
      </c>
      <c r="J194" s="7"/>
      <c r="K194" s="10"/>
      <c r="L194" s="31">
        <f t="shared" si="13"/>
        <v>0</v>
      </c>
      <c r="M194" s="7"/>
      <c r="N194" s="7"/>
      <c r="O194" s="39"/>
      <c r="P194" s="15" t="str">
        <f>IF(R194&lt;&gt;0,R194&amp;COUNTIF($R$11:R194,R194),0)</f>
        <v>0184</v>
      </c>
      <c r="R194" s="16" t="str">
        <f t="shared" si="14"/>
        <v>0</v>
      </c>
      <c r="S194" s="15">
        <f t="shared" si="10"/>
        <v>0</v>
      </c>
    </row>
    <row r="195" spans="1:19" ht="15.75" x14ac:dyDescent="0.25">
      <c r="A195">
        <f t="shared" si="11"/>
        <v>0</v>
      </c>
      <c r="B195" s="37"/>
      <c r="C195" s="26"/>
      <c r="D195" s="7"/>
      <c r="E195" s="7"/>
      <c r="F195" s="10"/>
      <c r="G195" s="10"/>
      <c r="H195" s="10"/>
      <c r="I195" s="33">
        <f t="shared" si="12"/>
        <v>0</v>
      </c>
      <c r="J195" s="7"/>
      <c r="K195" s="10"/>
      <c r="L195" s="31">
        <f t="shared" si="13"/>
        <v>0</v>
      </c>
      <c r="M195" s="7"/>
      <c r="N195" s="7"/>
      <c r="O195" s="39"/>
      <c r="P195" s="15" t="str">
        <f>IF(R195&lt;&gt;0,R195&amp;COUNTIF($R$11:R195,R195),0)</f>
        <v>0185</v>
      </c>
      <c r="R195" s="16" t="str">
        <f t="shared" si="14"/>
        <v>0</v>
      </c>
      <c r="S195" s="15">
        <f t="shared" ref="S195:S215" si="15">IF(LEFT(P195,1)="0",0,VALUE(P195))</f>
        <v>0</v>
      </c>
    </row>
    <row r="196" spans="1:19" ht="15.75" x14ac:dyDescent="0.25">
      <c r="A196">
        <f t="shared" si="11"/>
        <v>0</v>
      </c>
      <c r="B196" s="37"/>
      <c r="C196" s="26"/>
      <c r="D196" s="7"/>
      <c r="E196" s="7"/>
      <c r="F196" s="10"/>
      <c r="G196" s="10"/>
      <c r="H196" s="10"/>
      <c r="I196" s="33">
        <f t="shared" si="12"/>
        <v>0</v>
      </c>
      <c r="J196" s="7"/>
      <c r="K196" s="10"/>
      <c r="L196" s="31">
        <f t="shared" si="13"/>
        <v>0</v>
      </c>
      <c r="M196" s="7"/>
      <c r="N196" s="7"/>
      <c r="O196" s="39"/>
      <c r="P196" s="15" t="str">
        <f>IF(R196&lt;&gt;0,R196&amp;COUNTIF($R$11:R196,R196),0)</f>
        <v>0186</v>
      </c>
      <c r="R196" s="16" t="str">
        <f t="shared" si="14"/>
        <v>0</v>
      </c>
      <c r="S196" s="15">
        <f t="shared" si="15"/>
        <v>0</v>
      </c>
    </row>
    <row r="197" spans="1:19" ht="15.75" x14ac:dyDescent="0.25">
      <c r="A197">
        <f t="shared" si="11"/>
        <v>0</v>
      </c>
      <c r="B197" s="37"/>
      <c r="C197" s="26"/>
      <c r="D197" s="7"/>
      <c r="E197" s="7"/>
      <c r="F197" s="10"/>
      <c r="G197" s="10"/>
      <c r="H197" s="10"/>
      <c r="I197" s="33">
        <f t="shared" si="12"/>
        <v>0</v>
      </c>
      <c r="J197" s="7"/>
      <c r="K197" s="10"/>
      <c r="L197" s="31">
        <f t="shared" si="13"/>
        <v>0</v>
      </c>
      <c r="M197" s="7"/>
      <c r="N197" s="7"/>
      <c r="O197" s="39"/>
      <c r="P197" s="15" t="str">
        <f>IF(R197&lt;&gt;0,R197&amp;COUNTIF($R$11:R197,R197),0)</f>
        <v>0187</v>
      </c>
      <c r="R197" s="16" t="str">
        <f t="shared" si="14"/>
        <v>0</v>
      </c>
      <c r="S197" s="15">
        <f t="shared" si="15"/>
        <v>0</v>
      </c>
    </row>
    <row r="198" spans="1:19" ht="15.75" x14ac:dyDescent="0.25">
      <c r="A198">
        <f t="shared" si="11"/>
        <v>0</v>
      </c>
      <c r="B198" s="37"/>
      <c r="C198" s="26"/>
      <c r="D198" s="7"/>
      <c r="E198" s="7"/>
      <c r="F198" s="10"/>
      <c r="G198" s="10"/>
      <c r="H198" s="10"/>
      <c r="I198" s="33">
        <f t="shared" si="12"/>
        <v>0</v>
      </c>
      <c r="J198" s="7"/>
      <c r="K198" s="10"/>
      <c r="L198" s="31">
        <f t="shared" si="13"/>
        <v>0</v>
      </c>
      <c r="M198" s="7"/>
      <c r="N198" s="7"/>
      <c r="O198" s="39"/>
      <c r="P198" s="15" t="str">
        <f>IF(R198&lt;&gt;0,R198&amp;COUNTIF($R$11:R198,R198),0)</f>
        <v>0188</v>
      </c>
      <c r="R198" s="16" t="str">
        <f t="shared" si="14"/>
        <v>0</v>
      </c>
      <c r="S198" s="15">
        <f t="shared" si="15"/>
        <v>0</v>
      </c>
    </row>
    <row r="199" spans="1:19" ht="15.75" x14ac:dyDescent="0.25">
      <c r="A199">
        <f t="shared" si="11"/>
        <v>0</v>
      </c>
      <c r="B199" s="37"/>
      <c r="C199" s="26"/>
      <c r="D199" s="7"/>
      <c r="E199" s="7"/>
      <c r="F199" s="10"/>
      <c r="G199" s="10"/>
      <c r="H199" s="10"/>
      <c r="I199" s="33">
        <f t="shared" si="12"/>
        <v>0</v>
      </c>
      <c r="J199" s="7"/>
      <c r="K199" s="10"/>
      <c r="L199" s="31">
        <f t="shared" si="13"/>
        <v>0</v>
      </c>
      <c r="M199" s="7"/>
      <c r="N199" s="7"/>
      <c r="O199" s="39"/>
      <c r="P199" s="15" t="str">
        <f>IF(R199&lt;&gt;0,R199&amp;COUNTIF($R$11:R199,R199),0)</f>
        <v>0189</v>
      </c>
      <c r="R199" s="16" t="str">
        <f t="shared" si="14"/>
        <v>0</v>
      </c>
      <c r="S199" s="15">
        <f t="shared" si="15"/>
        <v>0</v>
      </c>
    </row>
    <row r="200" spans="1:19" ht="15.75" x14ac:dyDescent="0.25">
      <c r="A200">
        <f t="shared" si="11"/>
        <v>0</v>
      </c>
      <c r="B200" s="37"/>
      <c r="C200" s="26"/>
      <c r="D200" s="7"/>
      <c r="E200" s="7"/>
      <c r="F200" s="10"/>
      <c r="G200" s="10"/>
      <c r="H200" s="10"/>
      <c r="I200" s="33">
        <f t="shared" si="12"/>
        <v>0</v>
      </c>
      <c r="J200" s="7"/>
      <c r="K200" s="10"/>
      <c r="L200" s="31">
        <f t="shared" si="13"/>
        <v>0</v>
      </c>
      <c r="M200" s="7"/>
      <c r="N200" s="7"/>
      <c r="O200" s="39"/>
      <c r="P200" s="15" t="str">
        <f>IF(R200&lt;&gt;0,R200&amp;COUNTIF($R$11:R200,R200),0)</f>
        <v>0190</v>
      </c>
      <c r="R200" s="16" t="str">
        <f t="shared" si="14"/>
        <v>0</v>
      </c>
      <c r="S200" s="15">
        <f t="shared" si="15"/>
        <v>0</v>
      </c>
    </row>
    <row r="201" spans="1:19" ht="15.75" x14ac:dyDescent="0.25">
      <c r="A201">
        <f t="shared" si="11"/>
        <v>0</v>
      </c>
      <c r="B201" s="37"/>
      <c r="C201" s="26"/>
      <c r="D201" s="7"/>
      <c r="E201" s="7"/>
      <c r="F201" s="10"/>
      <c r="G201" s="10"/>
      <c r="H201" s="10"/>
      <c r="I201" s="33">
        <f t="shared" si="12"/>
        <v>0</v>
      </c>
      <c r="J201" s="7"/>
      <c r="K201" s="10"/>
      <c r="L201" s="31">
        <f t="shared" si="13"/>
        <v>0</v>
      </c>
      <c r="M201" s="7"/>
      <c r="N201" s="7"/>
      <c r="O201" s="39"/>
      <c r="P201" s="15" t="str">
        <f>IF(R201&lt;&gt;0,R201&amp;COUNTIF($R$11:R201,R201),0)</f>
        <v>0191</v>
      </c>
      <c r="R201" s="16" t="str">
        <f t="shared" si="14"/>
        <v>0</v>
      </c>
      <c r="S201" s="15">
        <f t="shared" si="15"/>
        <v>0</v>
      </c>
    </row>
    <row r="202" spans="1:19" ht="15.75" x14ac:dyDescent="0.25">
      <c r="A202">
        <f t="shared" si="11"/>
        <v>0</v>
      </c>
      <c r="B202" s="37"/>
      <c r="C202" s="26"/>
      <c r="D202" s="7"/>
      <c r="E202" s="7"/>
      <c r="F202" s="10"/>
      <c r="G202" s="10"/>
      <c r="H202" s="10"/>
      <c r="I202" s="33">
        <f t="shared" si="12"/>
        <v>0</v>
      </c>
      <c r="J202" s="7"/>
      <c r="K202" s="10"/>
      <c r="L202" s="31">
        <f t="shared" si="13"/>
        <v>0</v>
      </c>
      <c r="M202" s="7"/>
      <c r="N202" s="7"/>
      <c r="O202" s="39"/>
      <c r="P202" s="15" t="str">
        <f>IF(R202&lt;&gt;0,R202&amp;COUNTIF($R$11:R202,R202),0)</f>
        <v>0192</v>
      </c>
      <c r="R202" s="16" t="str">
        <f t="shared" si="14"/>
        <v>0</v>
      </c>
      <c r="S202" s="15">
        <f t="shared" si="15"/>
        <v>0</v>
      </c>
    </row>
    <row r="203" spans="1:19" ht="15.75" x14ac:dyDescent="0.25">
      <c r="A203">
        <f t="shared" si="11"/>
        <v>0</v>
      </c>
      <c r="B203" s="37"/>
      <c r="C203" s="26"/>
      <c r="D203" s="7"/>
      <c r="E203" s="7"/>
      <c r="F203" s="10"/>
      <c r="G203" s="10"/>
      <c r="H203" s="10"/>
      <c r="I203" s="33">
        <f t="shared" si="12"/>
        <v>0</v>
      </c>
      <c r="J203" s="7"/>
      <c r="K203" s="10"/>
      <c r="L203" s="31">
        <f t="shared" si="13"/>
        <v>0</v>
      </c>
      <c r="M203" s="7"/>
      <c r="N203" s="7"/>
      <c r="O203" s="39"/>
      <c r="P203" s="15" t="str">
        <f>IF(R203&lt;&gt;0,R203&amp;COUNTIF($R$11:R203,R203),0)</f>
        <v>0193</v>
      </c>
      <c r="R203" s="16" t="str">
        <f t="shared" si="14"/>
        <v>0</v>
      </c>
      <c r="S203" s="15">
        <f t="shared" si="15"/>
        <v>0</v>
      </c>
    </row>
    <row r="204" spans="1:19" ht="15.75" x14ac:dyDescent="0.25">
      <c r="A204">
        <f t="shared" ref="A204:A215" si="16">S204</f>
        <v>0</v>
      </c>
      <c r="B204" s="37"/>
      <c r="C204" s="26"/>
      <c r="D204" s="7"/>
      <c r="E204" s="7"/>
      <c r="F204" s="10"/>
      <c r="G204" s="10"/>
      <c r="H204" s="10"/>
      <c r="I204" s="33">
        <f t="shared" ref="I204:I215" si="17">G204+H204</f>
        <v>0</v>
      </c>
      <c r="J204" s="7"/>
      <c r="K204" s="10"/>
      <c r="L204" s="31">
        <f t="shared" ref="L204:L216" si="18">IF(K204=0,0,I204/K204*100)</f>
        <v>0</v>
      </c>
      <c r="M204" s="7"/>
      <c r="N204" s="7"/>
      <c r="O204" s="39"/>
      <c r="P204" s="15" t="str">
        <f>IF(R204&lt;&gt;0,R204&amp;COUNTIF($R$11:R204,R204),0)</f>
        <v>0194</v>
      </c>
      <c r="R204" s="16" t="str">
        <f t="shared" ref="R204:R215" si="19">LEFT(L204,4)</f>
        <v>0</v>
      </c>
      <c r="S204" s="15">
        <f t="shared" si="15"/>
        <v>0</v>
      </c>
    </row>
    <row r="205" spans="1:19" ht="15.75" x14ac:dyDescent="0.25">
      <c r="A205">
        <f t="shared" si="16"/>
        <v>0</v>
      </c>
      <c r="B205" s="37"/>
      <c r="C205" s="26"/>
      <c r="D205" s="7"/>
      <c r="E205" s="7"/>
      <c r="F205" s="10"/>
      <c r="G205" s="10"/>
      <c r="H205" s="10"/>
      <c r="I205" s="33">
        <f t="shared" si="17"/>
        <v>0</v>
      </c>
      <c r="J205" s="7"/>
      <c r="K205" s="10"/>
      <c r="L205" s="31">
        <f t="shared" si="18"/>
        <v>0</v>
      </c>
      <c r="M205" s="7"/>
      <c r="N205" s="7"/>
      <c r="O205" s="39"/>
      <c r="P205" s="15" t="str">
        <f>IF(R205&lt;&gt;0,R205&amp;COUNTIF($R$11:R205,R205),0)</f>
        <v>0195</v>
      </c>
      <c r="R205" s="16" t="str">
        <f t="shared" si="19"/>
        <v>0</v>
      </c>
      <c r="S205" s="15">
        <f t="shared" si="15"/>
        <v>0</v>
      </c>
    </row>
    <row r="206" spans="1:19" ht="15.75" x14ac:dyDescent="0.25">
      <c r="A206">
        <f t="shared" si="16"/>
        <v>0</v>
      </c>
      <c r="B206" s="37"/>
      <c r="C206" s="26"/>
      <c r="D206" s="7"/>
      <c r="E206" s="7"/>
      <c r="F206" s="10"/>
      <c r="G206" s="10"/>
      <c r="H206" s="10"/>
      <c r="I206" s="33">
        <f t="shared" si="17"/>
        <v>0</v>
      </c>
      <c r="J206" s="7"/>
      <c r="K206" s="10"/>
      <c r="L206" s="31">
        <f t="shared" si="18"/>
        <v>0</v>
      </c>
      <c r="M206" s="7"/>
      <c r="N206" s="7"/>
      <c r="O206" s="39"/>
      <c r="P206" s="15" t="str">
        <f>IF(R206&lt;&gt;0,R206&amp;COUNTIF($R$11:R206,R206),0)</f>
        <v>0196</v>
      </c>
      <c r="R206" s="16" t="str">
        <f t="shared" si="19"/>
        <v>0</v>
      </c>
      <c r="S206" s="15">
        <f t="shared" si="15"/>
        <v>0</v>
      </c>
    </row>
    <row r="207" spans="1:19" ht="15.75" x14ac:dyDescent="0.25">
      <c r="A207">
        <f t="shared" si="16"/>
        <v>0</v>
      </c>
      <c r="B207" s="37"/>
      <c r="C207" s="26"/>
      <c r="D207" s="7"/>
      <c r="E207" s="7"/>
      <c r="F207" s="10"/>
      <c r="G207" s="10"/>
      <c r="H207" s="10"/>
      <c r="I207" s="33">
        <f t="shared" si="17"/>
        <v>0</v>
      </c>
      <c r="J207" s="7"/>
      <c r="K207" s="10"/>
      <c r="L207" s="31">
        <f t="shared" si="18"/>
        <v>0</v>
      </c>
      <c r="M207" s="7"/>
      <c r="N207" s="7"/>
      <c r="O207" s="39"/>
      <c r="P207" s="15" t="str">
        <f>IF(R207&lt;&gt;0,R207&amp;COUNTIF($R$11:R207,R207),0)</f>
        <v>0197</v>
      </c>
      <c r="R207" s="16" t="str">
        <f t="shared" si="19"/>
        <v>0</v>
      </c>
      <c r="S207" s="15">
        <f t="shared" si="15"/>
        <v>0</v>
      </c>
    </row>
    <row r="208" spans="1:19" ht="15.75" x14ac:dyDescent="0.25">
      <c r="A208">
        <f t="shared" si="16"/>
        <v>0</v>
      </c>
      <c r="B208" s="37"/>
      <c r="C208" s="26"/>
      <c r="D208" s="7"/>
      <c r="E208" s="7"/>
      <c r="F208" s="10"/>
      <c r="G208" s="10"/>
      <c r="H208" s="10"/>
      <c r="I208" s="33">
        <f t="shared" si="17"/>
        <v>0</v>
      </c>
      <c r="J208" s="7"/>
      <c r="K208" s="10"/>
      <c r="L208" s="31">
        <f t="shared" si="18"/>
        <v>0</v>
      </c>
      <c r="M208" s="7"/>
      <c r="N208" s="7"/>
      <c r="O208" s="39"/>
      <c r="P208" s="15" t="str">
        <f>IF(R208&lt;&gt;0,R208&amp;COUNTIF($R$11:R208,R208),0)</f>
        <v>0198</v>
      </c>
      <c r="R208" s="16" t="str">
        <f t="shared" si="19"/>
        <v>0</v>
      </c>
      <c r="S208" s="15">
        <f t="shared" si="15"/>
        <v>0</v>
      </c>
    </row>
    <row r="209" spans="1:19" ht="15.75" x14ac:dyDescent="0.25">
      <c r="A209">
        <f t="shared" si="16"/>
        <v>0</v>
      </c>
      <c r="B209" s="37"/>
      <c r="C209" s="26"/>
      <c r="D209" s="7"/>
      <c r="E209" s="7"/>
      <c r="F209" s="10"/>
      <c r="G209" s="10"/>
      <c r="H209" s="10"/>
      <c r="I209" s="33">
        <f t="shared" si="17"/>
        <v>0</v>
      </c>
      <c r="J209" s="7"/>
      <c r="K209" s="10"/>
      <c r="L209" s="31">
        <f t="shared" si="18"/>
        <v>0</v>
      </c>
      <c r="M209" s="7"/>
      <c r="N209" s="7"/>
      <c r="O209" s="39"/>
      <c r="P209" s="15" t="str">
        <f>IF(R209&lt;&gt;0,R209&amp;COUNTIF($R$11:R209,R209),0)</f>
        <v>0199</v>
      </c>
      <c r="R209" s="16" t="str">
        <f t="shared" si="19"/>
        <v>0</v>
      </c>
      <c r="S209" s="15">
        <f t="shared" si="15"/>
        <v>0</v>
      </c>
    </row>
    <row r="210" spans="1:19" ht="15.75" x14ac:dyDescent="0.25">
      <c r="A210">
        <f t="shared" si="16"/>
        <v>0</v>
      </c>
      <c r="B210" s="37"/>
      <c r="C210" s="26"/>
      <c r="D210" s="7"/>
      <c r="E210" s="7"/>
      <c r="F210" s="10"/>
      <c r="G210" s="10"/>
      <c r="H210" s="10"/>
      <c r="I210" s="33">
        <f t="shared" si="17"/>
        <v>0</v>
      </c>
      <c r="J210" s="7"/>
      <c r="K210" s="10"/>
      <c r="L210" s="31">
        <f t="shared" si="18"/>
        <v>0</v>
      </c>
      <c r="M210" s="7"/>
      <c r="N210" s="7"/>
      <c r="O210" s="39"/>
      <c r="P210" s="15" t="str">
        <f>IF(R210&lt;&gt;0,R210&amp;COUNTIF($R$11:R210,R210),0)</f>
        <v>0200</v>
      </c>
      <c r="R210" s="16" t="str">
        <f t="shared" si="19"/>
        <v>0</v>
      </c>
      <c r="S210" s="15">
        <f t="shared" si="15"/>
        <v>0</v>
      </c>
    </row>
    <row r="211" spans="1:19" ht="15.75" x14ac:dyDescent="0.25">
      <c r="A211">
        <f t="shared" si="16"/>
        <v>0</v>
      </c>
      <c r="B211" s="37"/>
      <c r="C211" s="26"/>
      <c r="D211" s="7"/>
      <c r="E211" s="7"/>
      <c r="F211" s="10"/>
      <c r="G211" s="10"/>
      <c r="H211" s="10"/>
      <c r="I211" s="33">
        <f t="shared" si="17"/>
        <v>0</v>
      </c>
      <c r="J211" s="7"/>
      <c r="K211" s="10"/>
      <c r="L211" s="31">
        <f t="shared" si="18"/>
        <v>0</v>
      </c>
      <c r="M211" s="7"/>
      <c r="N211" s="7"/>
      <c r="O211" s="39"/>
      <c r="P211" s="15" t="str">
        <f>IF(R211&lt;&gt;0,R211&amp;COUNTIF($R$11:R211,R211),0)</f>
        <v>0201</v>
      </c>
      <c r="R211" s="16" t="str">
        <f t="shared" si="19"/>
        <v>0</v>
      </c>
      <c r="S211" s="15">
        <f t="shared" si="15"/>
        <v>0</v>
      </c>
    </row>
    <row r="212" spans="1:19" ht="15.75" x14ac:dyDescent="0.25">
      <c r="A212">
        <f t="shared" si="16"/>
        <v>0</v>
      </c>
      <c r="B212" s="37"/>
      <c r="C212" s="26"/>
      <c r="D212" s="7"/>
      <c r="E212" s="7"/>
      <c r="F212" s="10"/>
      <c r="G212" s="10"/>
      <c r="H212" s="10"/>
      <c r="I212" s="33">
        <f t="shared" si="17"/>
        <v>0</v>
      </c>
      <c r="J212" s="7"/>
      <c r="K212" s="10"/>
      <c r="L212" s="31">
        <f t="shared" si="18"/>
        <v>0</v>
      </c>
      <c r="M212" s="7"/>
      <c r="N212" s="7"/>
      <c r="O212" s="39"/>
      <c r="P212" s="15" t="str">
        <f>IF(R212&lt;&gt;0,R212&amp;COUNTIF($R$11:R212,R212),0)</f>
        <v>0202</v>
      </c>
      <c r="R212" s="16" t="str">
        <f t="shared" si="19"/>
        <v>0</v>
      </c>
      <c r="S212" s="15">
        <f t="shared" si="15"/>
        <v>0</v>
      </c>
    </row>
    <row r="213" spans="1:19" ht="15.75" x14ac:dyDescent="0.25">
      <c r="A213">
        <f t="shared" si="16"/>
        <v>0</v>
      </c>
      <c r="B213" s="37"/>
      <c r="C213" s="26"/>
      <c r="D213" s="7"/>
      <c r="E213" s="7"/>
      <c r="F213" s="10"/>
      <c r="G213" s="10"/>
      <c r="H213" s="10"/>
      <c r="I213" s="33">
        <f t="shared" si="17"/>
        <v>0</v>
      </c>
      <c r="J213" s="7"/>
      <c r="K213" s="10"/>
      <c r="L213" s="31">
        <f t="shared" si="18"/>
        <v>0</v>
      </c>
      <c r="M213" s="7"/>
      <c r="N213" s="7"/>
      <c r="O213" s="39"/>
      <c r="P213" s="15" t="str">
        <f>IF(R213&lt;&gt;0,R213&amp;COUNTIF($R$11:R213,R213),0)</f>
        <v>0203</v>
      </c>
      <c r="R213" s="16" t="str">
        <f t="shared" si="19"/>
        <v>0</v>
      </c>
      <c r="S213" s="15">
        <f t="shared" si="15"/>
        <v>0</v>
      </c>
    </row>
    <row r="214" spans="1:19" ht="15.75" x14ac:dyDescent="0.25">
      <c r="A214">
        <f t="shared" si="16"/>
        <v>0</v>
      </c>
      <c r="B214" s="37"/>
      <c r="C214" s="26"/>
      <c r="D214" s="7"/>
      <c r="E214" s="7"/>
      <c r="F214" s="10"/>
      <c r="G214" s="10"/>
      <c r="H214" s="10"/>
      <c r="I214" s="33">
        <f t="shared" si="17"/>
        <v>0</v>
      </c>
      <c r="J214" s="7"/>
      <c r="K214" s="10"/>
      <c r="L214" s="31">
        <f t="shared" si="18"/>
        <v>0</v>
      </c>
      <c r="M214" s="7"/>
      <c r="N214" s="7"/>
      <c r="O214" s="39"/>
      <c r="P214" s="15" t="str">
        <f>IF(R214&lt;&gt;0,R214&amp;COUNTIF($R$11:R214,R214),0)</f>
        <v>0204</v>
      </c>
      <c r="R214" s="16" t="str">
        <f t="shared" si="19"/>
        <v>0</v>
      </c>
      <c r="S214" s="15">
        <f t="shared" si="15"/>
        <v>0</v>
      </c>
    </row>
    <row r="215" spans="1:19" ht="15.75" x14ac:dyDescent="0.25">
      <c r="A215">
        <f t="shared" si="16"/>
        <v>0</v>
      </c>
      <c r="B215" s="37"/>
      <c r="C215" s="26"/>
      <c r="D215" s="7"/>
      <c r="E215" s="7"/>
      <c r="F215" s="10"/>
      <c r="G215" s="10"/>
      <c r="H215" s="10"/>
      <c r="I215" s="33">
        <f t="shared" si="17"/>
        <v>0</v>
      </c>
      <c r="J215" s="7"/>
      <c r="K215" s="10"/>
      <c r="L215" s="31">
        <f t="shared" si="18"/>
        <v>0</v>
      </c>
      <c r="M215" s="7"/>
      <c r="N215" s="7"/>
      <c r="O215" s="39"/>
      <c r="P215" s="15" t="str">
        <f>IF(R215&lt;&gt;0,R215&amp;COUNTIF($R$11:R215,R215),0)</f>
        <v>0205</v>
      </c>
      <c r="R215" s="16" t="str">
        <f t="shared" si="19"/>
        <v>0</v>
      </c>
      <c r="S215" s="15">
        <f t="shared" si="15"/>
        <v>0</v>
      </c>
    </row>
    <row r="216" spans="1:19" ht="15.75" thickBot="1" x14ac:dyDescent="0.3">
      <c r="B216" s="40"/>
      <c r="C216" s="49" t="s">
        <v>18</v>
      </c>
      <c r="D216" s="41"/>
      <c r="E216" s="41"/>
      <c r="F216" s="42">
        <f>+SUM(F204:F215)</f>
        <v>0</v>
      </c>
      <c r="G216" s="42">
        <f t="shared" ref="G216:H216" si="20">+SUM(G204:G215)</f>
        <v>0</v>
      </c>
      <c r="H216" s="42">
        <f t="shared" si="20"/>
        <v>0</v>
      </c>
      <c r="I216" s="43">
        <f>G216+H216</f>
        <v>0</v>
      </c>
      <c r="J216" s="44"/>
      <c r="K216" s="45"/>
      <c r="L216" s="46">
        <f t="shared" si="18"/>
        <v>0</v>
      </c>
      <c r="M216" s="44"/>
      <c r="N216" s="44"/>
      <c r="O216" s="47"/>
    </row>
    <row r="220" spans="1:19" x14ac:dyDescent="0.25">
      <c r="B220" s="8" t="s">
        <v>19</v>
      </c>
      <c r="C220" s="8"/>
    </row>
    <row r="221" spans="1:19" x14ac:dyDescent="0.25">
      <c r="B221" s="9" t="s">
        <v>20</v>
      </c>
      <c r="C221" s="9"/>
    </row>
    <row r="223" spans="1:19" ht="78.75" hidden="1" x14ac:dyDescent="0.25">
      <c r="C223" s="34"/>
      <c r="D223" s="27" t="s">
        <v>33</v>
      </c>
      <c r="E223" s="19" t="s">
        <v>7</v>
      </c>
      <c r="F223" s="19" t="s">
        <v>31</v>
      </c>
      <c r="G223" s="19" t="s">
        <v>24</v>
      </c>
      <c r="H223" s="19" t="s">
        <v>25</v>
      </c>
      <c r="I223" s="20" t="s">
        <v>26</v>
      </c>
    </row>
    <row r="224" spans="1:19" ht="15.75" hidden="1" x14ac:dyDescent="0.25">
      <c r="C224" s="35">
        <v>1</v>
      </c>
      <c r="D224" s="11" t="str">
        <f>IF(J224="","", VLOOKUP(J224,$A$11:$S$215,3,FALSE))</f>
        <v/>
      </c>
      <c r="E224" s="11" t="str">
        <f>IF(J224="","", VLOOKUP(J224,$A$11:$S$215,5,FALSE))</f>
        <v/>
      </c>
      <c r="F224" s="12" t="str">
        <f>IF(J224="","", VLOOKUP(J224,$A$11:$S$215,9,FALSE))</f>
        <v/>
      </c>
      <c r="G224" s="12" t="str">
        <f>IF(J224="","", VLOOKUP(J224,$A$11:$S$215,11,FALSE))</f>
        <v/>
      </c>
      <c r="H224" s="13" t="str">
        <f>IF(J224="","", VLOOKUP(J224,$A$11:$S$215,13,FALSE))</f>
        <v/>
      </c>
      <c r="I224" s="14" t="str">
        <f>IF(LARGE($L$11:$L$215,C224)&gt;15,LARGE($L$11:$L$215,C224),"")</f>
        <v/>
      </c>
      <c r="J224" s="17" t="str">
        <f>IF(LARGE($S$11:$S$215,C224)&gt;15,LARGE($S$11:$S$215,C224),"")</f>
        <v/>
      </c>
    </row>
    <row r="225" spans="3:10" ht="15.75" hidden="1" x14ac:dyDescent="0.25">
      <c r="C225" s="35">
        <v>2</v>
      </c>
      <c r="D225" s="11" t="str">
        <f t="shared" ref="D225:D243" si="21">IF(J225="","", VLOOKUP(J225,$A$11:$S$215,3,FALSE))</f>
        <v/>
      </c>
      <c r="E225" s="11" t="str">
        <f t="shared" ref="E225:E243" si="22">IF(J225="","", VLOOKUP(J225,$A$11:$S$215,5,FALSE))</f>
        <v/>
      </c>
      <c r="F225" s="12" t="str">
        <f t="shared" ref="F225:F243" si="23">IF(J225="","", VLOOKUP(J225,$A$11:$S$215,9,FALSE))</f>
        <v/>
      </c>
      <c r="G225" s="12" t="str">
        <f t="shared" ref="G225:G239" si="24">IF(J225="","", VLOOKUP(J225,$A$11:$S$215,11,FALSE))</f>
        <v/>
      </c>
      <c r="H225" s="13" t="str">
        <f t="shared" ref="H225:H243" si="25">IF(J225="","", VLOOKUP(J225,$A$11:$S$215,13,FALSE))</f>
        <v/>
      </c>
      <c r="I225" s="14" t="str">
        <f t="shared" ref="I225:I243" si="26">IF(LARGE($L$11:$L$215,C225)&gt;15,LARGE($L$11:$L$215,C225),"")</f>
        <v/>
      </c>
      <c r="J225" s="17" t="str">
        <f t="shared" ref="J225:J243" si="27">IF(LARGE($S$11:$S$215,C225)&gt;15,LARGE($S$11:$S$215,C225),"")</f>
        <v/>
      </c>
    </row>
    <row r="226" spans="3:10" ht="15.75" hidden="1" x14ac:dyDescent="0.25">
      <c r="C226" s="35">
        <v>3</v>
      </c>
      <c r="D226" s="11" t="str">
        <f t="shared" si="21"/>
        <v/>
      </c>
      <c r="E226" s="11" t="str">
        <f t="shared" si="22"/>
        <v/>
      </c>
      <c r="F226" s="12" t="str">
        <f t="shared" si="23"/>
        <v/>
      </c>
      <c r="G226" s="12" t="str">
        <f t="shared" si="24"/>
        <v/>
      </c>
      <c r="H226" s="13" t="str">
        <f t="shared" si="25"/>
        <v/>
      </c>
      <c r="I226" s="14" t="str">
        <f t="shared" si="26"/>
        <v/>
      </c>
      <c r="J226" s="17" t="str">
        <f t="shared" si="27"/>
        <v/>
      </c>
    </row>
    <row r="227" spans="3:10" ht="15.75" hidden="1" x14ac:dyDescent="0.25">
      <c r="C227" s="35">
        <v>4</v>
      </c>
      <c r="D227" s="11" t="str">
        <f t="shared" si="21"/>
        <v/>
      </c>
      <c r="E227" s="11" t="str">
        <f t="shared" si="22"/>
        <v/>
      </c>
      <c r="F227" s="12" t="str">
        <f t="shared" si="23"/>
        <v/>
      </c>
      <c r="G227" s="12" t="str">
        <f t="shared" si="24"/>
        <v/>
      </c>
      <c r="H227" s="13" t="str">
        <f t="shared" si="25"/>
        <v/>
      </c>
      <c r="I227" s="14" t="str">
        <f t="shared" si="26"/>
        <v/>
      </c>
      <c r="J227" s="17" t="str">
        <f t="shared" si="27"/>
        <v/>
      </c>
    </row>
    <row r="228" spans="3:10" ht="15.75" hidden="1" x14ac:dyDescent="0.25">
      <c r="C228" s="35">
        <v>5</v>
      </c>
      <c r="D228" s="11" t="str">
        <f t="shared" si="21"/>
        <v/>
      </c>
      <c r="E228" s="11" t="str">
        <f t="shared" si="22"/>
        <v/>
      </c>
      <c r="F228" s="12" t="str">
        <f t="shared" si="23"/>
        <v/>
      </c>
      <c r="G228" s="12" t="str">
        <f t="shared" si="24"/>
        <v/>
      </c>
      <c r="H228" s="13" t="str">
        <f t="shared" si="25"/>
        <v/>
      </c>
      <c r="I228" s="14" t="str">
        <f t="shared" si="26"/>
        <v/>
      </c>
      <c r="J228" s="17" t="str">
        <f t="shared" si="27"/>
        <v/>
      </c>
    </row>
    <row r="229" spans="3:10" ht="15.75" hidden="1" x14ac:dyDescent="0.25">
      <c r="C229" s="35">
        <v>6</v>
      </c>
      <c r="D229" s="11" t="str">
        <f t="shared" si="21"/>
        <v/>
      </c>
      <c r="E229" s="11" t="str">
        <f t="shared" si="22"/>
        <v/>
      </c>
      <c r="F229" s="12" t="str">
        <f t="shared" si="23"/>
        <v/>
      </c>
      <c r="G229" s="12" t="str">
        <f t="shared" si="24"/>
        <v/>
      </c>
      <c r="H229" s="13" t="str">
        <f t="shared" si="25"/>
        <v/>
      </c>
      <c r="I229" s="14" t="str">
        <f t="shared" si="26"/>
        <v/>
      </c>
      <c r="J229" s="17" t="str">
        <f t="shared" si="27"/>
        <v/>
      </c>
    </row>
    <row r="230" spans="3:10" ht="15.75" hidden="1" x14ac:dyDescent="0.25">
      <c r="C230" s="35">
        <v>7</v>
      </c>
      <c r="D230" s="11" t="str">
        <f t="shared" si="21"/>
        <v/>
      </c>
      <c r="E230" s="11" t="str">
        <f t="shared" si="22"/>
        <v/>
      </c>
      <c r="F230" s="12" t="str">
        <f t="shared" si="23"/>
        <v/>
      </c>
      <c r="G230" s="12" t="str">
        <f t="shared" si="24"/>
        <v/>
      </c>
      <c r="H230" s="13" t="str">
        <f t="shared" si="25"/>
        <v/>
      </c>
      <c r="I230" s="14" t="str">
        <f t="shared" si="26"/>
        <v/>
      </c>
      <c r="J230" s="17" t="str">
        <f t="shared" si="27"/>
        <v/>
      </c>
    </row>
    <row r="231" spans="3:10" ht="15.75" hidden="1" x14ac:dyDescent="0.25">
      <c r="C231" s="35">
        <v>8</v>
      </c>
      <c r="D231" s="11" t="str">
        <f t="shared" si="21"/>
        <v/>
      </c>
      <c r="E231" s="11" t="str">
        <f t="shared" si="22"/>
        <v/>
      </c>
      <c r="F231" s="12" t="str">
        <f t="shared" si="23"/>
        <v/>
      </c>
      <c r="G231" s="12" t="str">
        <f t="shared" si="24"/>
        <v/>
      </c>
      <c r="H231" s="13" t="str">
        <f t="shared" si="25"/>
        <v/>
      </c>
      <c r="I231" s="14" t="str">
        <f t="shared" si="26"/>
        <v/>
      </c>
      <c r="J231" s="17" t="str">
        <f t="shared" si="27"/>
        <v/>
      </c>
    </row>
    <row r="232" spans="3:10" ht="15.75" hidden="1" x14ac:dyDescent="0.25">
      <c r="C232" s="35">
        <v>9</v>
      </c>
      <c r="D232" s="11" t="str">
        <f t="shared" si="21"/>
        <v/>
      </c>
      <c r="E232" s="11" t="str">
        <f t="shared" si="22"/>
        <v/>
      </c>
      <c r="F232" s="12" t="str">
        <f t="shared" si="23"/>
        <v/>
      </c>
      <c r="G232" s="12" t="str">
        <f t="shared" si="24"/>
        <v/>
      </c>
      <c r="H232" s="13" t="str">
        <f t="shared" si="25"/>
        <v/>
      </c>
      <c r="I232" s="14" t="str">
        <f t="shared" si="26"/>
        <v/>
      </c>
      <c r="J232" s="17" t="str">
        <f t="shared" si="27"/>
        <v/>
      </c>
    </row>
    <row r="233" spans="3:10" ht="15.75" hidden="1" x14ac:dyDescent="0.25">
      <c r="C233" s="35">
        <v>10</v>
      </c>
      <c r="D233" s="11" t="str">
        <f t="shared" si="21"/>
        <v/>
      </c>
      <c r="E233" s="11" t="str">
        <f t="shared" si="22"/>
        <v/>
      </c>
      <c r="F233" s="12" t="str">
        <f t="shared" si="23"/>
        <v/>
      </c>
      <c r="G233" s="12" t="str">
        <f t="shared" si="24"/>
        <v/>
      </c>
      <c r="H233" s="13" t="str">
        <f t="shared" si="25"/>
        <v/>
      </c>
      <c r="I233" s="14" t="str">
        <f t="shared" si="26"/>
        <v/>
      </c>
      <c r="J233" s="17" t="str">
        <f t="shared" si="27"/>
        <v/>
      </c>
    </row>
    <row r="234" spans="3:10" ht="15.75" hidden="1" x14ac:dyDescent="0.25">
      <c r="C234" s="35">
        <v>11</v>
      </c>
      <c r="D234" s="11" t="str">
        <f t="shared" si="21"/>
        <v/>
      </c>
      <c r="E234" s="11" t="str">
        <f t="shared" si="22"/>
        <v/>
      </c>
      <c r="F234" s="12" t="str">
        <f t="shared" si="23"/>
        <v/>
      </c>
      <c r="G234" s="12" t="str">
        <f t="shared" si="24"/>
        <v/>
      </c>
      <c r="H234" s="13" t="str">
        <f t="shared" si="25"/>
        <v/>
      </c>
      <c r="I234" s="14" t="str">
        <f t="shared" si="26"/>
        <v/>
      </c>
      <c r="J234" s="17" t="str">
        <f t="shared" si="27"/>
        <v/>
      </c>
    </row>
    <row r="235" spans="3:10" ht="15.75" hidden="1" x14ac:dyDescent="0.25">
      <c r="C235" s="35">
        <v>12</v>
      </c>
      <c r="D235" s="11" t="str">
        <f t="shared" si="21"/>
        <v/>
      </c>
      <c r="E235" s="11" t="str">
        <f t="shared" si="22"/>
        <v/>
      </c>
      <c r="F235" s="12" t="str">
        <f t="shared" si="23"/>
        <v/>
      </c>
      <c r="G235" s="12" t="str">
        <f t="shared" si="24"/>
        <v/>
      </c>
      <c r="H235" s="13" t="str">
        <f t="shared" si="25"/>
        <v/>
      </c>
      <c r="I235" s="14" t="str">
        <f t="shared" si="26"/>
        <v/>
      </c>
      <c r="J235" s="17" t="str">
        <f t="shared" si="27"/>
        <v/>
      </c>
    </row>
    <row r="236" spans="3:10" ht="15.75" hidden="1" x14ac:dyDescent="0.25">
      <c r="C236" s="35">
        <v>13</v>
      </c>
      <c r="D236" s="11" t="str">
        <f t="shared" si="21"/>
        <v/>
      </c>
      <c r="E236" s="11" t="str">
        <f t="shared" si="22"/>
        <v/>
      </c>
      <c r="F236" s="12" t="str">
        <f t="shared" si="23"/>
        <v/>
      </c>
      <c r="G236" s="12" t="str">
        <f t="shared" si="24"/>
        <v/>
      </c>
      <c r="H236" s="13" t="str">
        <f t="shared" si="25"/>
        <v/>
      </c>
      <c r="I236" s="14" t="str">
        <f t="shared" si="26"/>
        <v/>
      </c>
      <c r="J236" s="17" t="str">
        <f t="shared" si="27"/>
        <v/>
      </c>
    </row>
    <row r="237" spans="3:10" ht="15.75" hidden="1" x14ac:dyDescent="0.25">
      <c r="C237" s="35">
        <v>14</v>
      </c>
      <c r="D237" s="11" t="str">
        <f t="shared" si="21"/>
        <v/>
      </c>
      <c r="E237" s="11" t="str">
        <f t="shared" si="22"/>
        <v/>
      </c>
      <c r="F237" s="12" t="str">
        <f t="shared" si="23"/>
        <v/>
      </c>
      <c r="G237" s="12" t="str">
        <f t="shared" si="24"/>
        <v/>
      </c>
      <c r="H237" s="13" t="str">
        <f t="shared" si="25"/>
        <v/>
      </c>
      <c r="I237" s="14" t="str">
        <f t="shared" si="26"/>
        <v/>
      </c>
      <c r="J237" s="17" t="str">
        <f t="shared" si="27"/>
        <v/>
      </c>
    </row>
    <row r="238" spans="3:10" ht="15.75" hidden="1" x14ac:dyDescent="0.25">
      <c r="C238" s="35">
        <v>15</v>
      </c>
      <c r="D238" s="11" t="str">
        <f t="shared" si="21"/>
        <v/>
      </c>
      <c r="E238" s="11" t="str">
        <f t="shared" si="22"/>
        <v/>
      </c>
      <c r="F238" s="12" t="str">
        <f t="shared" si="23"/>
        <v/>
      </c>
      <c r="G238" s="12" t="str">
        <f t="shared" si="24"/>
        <v/>
      </c>
      <c r="H238" s="13" t="str">
        <f t="shared" si="25"/>
        <v/>
      </c>
      <c r="I238" s="14" t="str">
        <f t="shared" si="26"/>
        <v/>
      </c>
      <c r="J238" s="17" t="str">
        <f t="shared" si="27"/>
        <v/>
      </c>
    </row>
    <row r="239" spans="3:10" ht="15.75" hidden="1" x14ac:dyDescent="0.25">
      <c r="C239" s="35">
        <v>16</v>
      </c>
      <c r="D239" s="11" t="str">
        <f t="shared" si="21"/>
        <v/>
      </c>
      <c r="E239" s="11" t="str">
        <f t="shared" si="22"/>
        <v/>
      </c>
      <c r="F239" s="12" t="str">
        <f t="shared" si="23"/>
        <v/>
      </c>
      <c r="G239" s="12" t="str">
        <f t="shared" si="24"/>
        <v/>
      </c>
      <c r="H239" s="13" t="str">
        <f t="shared" si="25"/>
        <v/>
      </c>
      <c r="I239" s="14" t="str">
        <f t="shared" si="26"/>
        <v/>
      </c>
      <c r="J239" s="17" t="str">
        <f t="shared" si="27"/>
        <v/>
      </c>
    </row>
    <row r="240" spans="3:10" ht="15.75" hidden="1" x14ac:dyDescent="0.25">
      <c r="C240" s="35">
        <v>17</v>
      </c>
      <c r="D240" s="11" t="str">
        <f t="shared" si="21"/>
        <v/>
      </c>
      <c r="E240" s="11" t="str">
        <f t="shared" si="22"/>
        <v/>
      </c>
      <c r="F240" s="12" t="str">
        <f t="shared" si="23"/>
        <v/>
      </c>
      <c r="G240" s="12" t="str">
        <f t="shared" ref="G240:G243" si="28">IF(J240="","", VLOOKUP(J240,$A$11:$S$215,11,FALSE))</f>
        <v/>
      </c>
      <c r="H240" s="13" t="str">
        <f t="shared" si="25"/>
        <v/>
      </c>
      <c r="I240" s="14" t="str">
        <f t="shared" si="26"/>
        <v/>
      </c>
      <c r="J240" s="17" t="str">
        <f t="shared" si="27"/>
        <v/>
      </c>
    </row>
    <row r="241" spans="3:10" ht="15.75" hidden="1" x14ac:dyDescent="0.25">
      <c r="C241" s="35">
        <v>18</v>
      </c>
      <c r="D241" s="11" t="str">
        <f t="shared" si="21"/>
        <v/>
      </c>
      <c r="E241" s="11" t="str">
        <f t="shared" si="22"/>
        <v/>
      </c>
      <c r="F241" s="12" t="str">
        <f t="shared" si="23"/>
        <v/>
      </c>
      <c r="G241" s="12" t="str">
        <f t="shared" si="28"/>
        <v/>
      </c>
      <c r="H241" s="13" t="str">
        <f t="shared" si="25"/>
        <v/>
      </c>
      <c r="I241" s="14" t="str">
        <f t="shared" si="26"/>
        <v/>
      </c>
      <c r="J241" s="17" t="str">
        <f t="shared" si="27"/>
        <v/>
      </c>
    </row>
    <row r="242" spans="3:10" ht="15.75" hidden="1" x14ac:dyDescent="0.25">
      <c r="C242" s="35">
        <v>19</v>
      </c>
      <c r="D242" s="11" t="str">
        <f t="shared" si="21"/>
        <v/>
      </c>
      <c r="E242" s="11" t="str">
        <f t="shared" si="22"/>
        <v/>
      </c>
      <c r="F242" s="12" t="str">
        <f t="shared" si="23"/>
        <v/>
      </c>
      <c r="G242" s="12" t="str">
        <f t="shared" si="28"/>
        <v/>
      </c>
      <c r="H242" s="13" t="str">
        <f t="shared" si="25"/>
        <v/>
      </c>
      <c r="I242" s="14" t="str">
        <f t="shared" si="26"/>
        <v/>
      </c>
      <c r="J242" s="17" t="str">
        <f t="shared" si="27"/>
        <v/>
      </c>
    </row>
    <row r="243" spans="3:10" ht="15.75" hidden="1" x14ac:dyDescent="0.25">
      <c r="C243" s="35">
        <v>20</v>
      </c>
      <c r="D243" s="11" t="str">
        <f t="shared" si="21"/>
        <v/>
      </c>
      <c r="E243" s="11" t="str">
        <f t="shared" si="22"/>
        <v/>
      </c>
      <c r="F243" s="12" t="str">
        <f t="shared" si="23"/>
        <v/>
      </c>
      <c r="G243" s="12" t="str">
        <f t="shared" si="28"/>
        <v/>
      </c>
      <c r="H243" s="13" t="str">
        <f t="shared" si="25"/>
        <v/>
      </c>
      <c r="I243" s="14" t="str">
        <f t="shared" si="26"/>
        <v/>
      </c>
      <c r="J243" s="17" t="str">
        <f t="shared" si="27"/>
        <v/>
      </c>
    </row>
    <row r="244" spans="3:10" hidden="1" x14ac:dyDescent="0.25"/>
    <row r="245" spans="3:10" hidden="1" x14ac:dyDescent="0.25"/>
    <row r="246" spans="3:10" hidden="1" x14ac:dyDescent="0.25"/>
    <row r="247" spans="3:10" hidden="1" x14ac:dyDescent="0.25"/>
  </sheetData>
  <sheetProtection password="CCE3" sheet="1" objects="1" scenarios="1"/>
  <mergeCells count="11">
    <mergeCell ref="A4:N4"/>
    <mergeCell ref="F9:F10"/>
    <mergeCell ref="J9:J10"/>
    <mergeCell ref="L9:L10"/>
    <mergeCell ref="M9:M10"/>
    <mergeCell ref="N9:O9"/>
    <mergeCell ref="K9:K10"/>
    <mergeCell ref="B9:B10"/>
    <mergeCell ref="C9:C10"/>
    <mergeCell ref="D9:D10"/>
    <mergeCell ref="E9:E10"/>
  </mergeCells>
  <dataValidations count="1">
    <dataValidation type="list" allowBlank="1" showInputMessage="1" showErrorMessage="1" sqref="M11:M215">
      <formula1>$Q$11:$Q$15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Borrower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2026-08-04T09:22:27Z</dcterms:created>
  <dcterms:modified xsi:type="dcterms:W3CDTF">2026-08-13T09:33:11Z</dcterms:modified>
</cp:coreProperties>
</file>