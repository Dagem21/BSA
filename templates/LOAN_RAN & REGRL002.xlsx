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5600" windowHeight="11040"/>
  </bookViews>
  <sheets>
    <sheet sheetId="1" name="Loan by range and region" state="visible" r:id="rId4"/>
  </sheets>
  <calcPr calcId="171027"/>
</workbook>
</file>

<file path=xl/sharedStrings.xml><?xml version="1.0" encoding="utf-8"?>
<sst xmlns="http://schemas.openxmlformats.org/spreadsheetml/2006/main" count="136" uniqueCount="50">
  <si>
    <t>LOAN_RAN &amp; REGRL002</t>
  </si>
  <si>
    <t>Monthly Conventional Loans by Range and Region</t>
  </si>
  <si>
    <t xml:space="preserve">Instiution code </t>
  </si>
  <si>
    <t>0000001</t>
  </si>
  <si>
    <t>Financial Year</t>
  </si>
  <si>
    <t>Start Date</t>
  </si>
  <si>
    <t>2026-08-01T00:00:00</t>
  </si>
  <si>
    <t>End Date</t>
  </si>
  <si>
    <t>2026-08-31T00:00:00</t>
  </si>
  <si>
    <t>(Amount in Millions of Birr)</t>
  </si>
  <si>
    <t>Code</t>
  </si>
  <si>
    <t>Region</t>
  </si>
  <si>
    <t>&lt;= 100,000</t>
  </si>
  <si>
    <t>&gt;100,000 - 1million</t>
  </si>
  <si>
    <t>&gt;1 million - 5 million</t>
  </si>
  <si>
    <t>&gt;5million - 10 million</t>
  </si>
  <si>
    <t>&gt;10million - 50 million</t>
  </si>
  <si>
    <t>&gt;50million -100million</t>
  </si>
  <si>
    <t>&gt;100 million</t>
  </si>
  <si>
    <t>Total</t>
  </si>
  <si>
    <t>Amount</t>
  </si>
  <si>
    <t xml:space="preserve">  # of Borrowers</t>
  </si>
  <si>
    <t xml:space="preserve"> # of Accounts  </t>
  </si>
  <si>
    <t>Addis Ababa</t>
  </si>
  <si>
    <t>Term loan</t>
  </si>
  <si>
    <t>Overdraft</t>
  </si>
  <si>
    <t>Merch. loan</t>
  </si>
  <si>
    <t>Urban</t>
  </si>
  <si>
    <t>Rural</t>
  </si>
  <si>
    <t xml:space="preserve"> 2</t>
  </si>
  <si>
    <t>Afar</t>
  </si>
  <si>
    <t>Amhara</t>
  </si>
  <si>
    <t>Benishangul</t>
  </si>
  <si>
    <t>Dire Dawa</t>
  </si>
  <si>
    <t>Gambela</t>
  </si>
  <si>
    <t>Harari</t>
  </si>
  <si>
    <t>Oromia</t>
  </si>
  <si>
    <t>Somalia</t>
  </si>
  <si>
    <t>Tigray</t>
  </si>
  <si>
    <t>Sidama</t>
  </si>
  <si>
    <t>SWERS</t>
  </si>
  <si>
    <t>CERS</t>
  </si>
  <si>
    <t>SERS</t>
  </si>
  <si>
    <t>Total Amount</t>
  </si>
  <si>
    <t xml:space="preserve">NOTE </t>
  </si>
  <si>
    <t xml:space="preserve">Merchandise loans including L/C facilities, guarantees and others </t>
  </si>
  <si>
    <t>CERS (Central Ethiopia Regional State)</t>
  </si>
  <si>
    <t xml:space="preserve"> </t>
  </si>
  <si>
    <t>SERS (South Ethiopia Regional State)</t>
  </si>
  <si>
    <t>Classification of Urban and Rural shall be as per CSS Ethiopia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</si>
</sst>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52]yyyy-mm-dd;@"/>
  </numFmts>
  <fonts count="13" x14ac:knownFonts="1">
    <font>
      <color theme="1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b/>
      <color rgb="FFFF0000"/>
      <family val="1"/>
      <sz val="18"/>
      <name val="Times New Roman"/>
    </font>
    <font>
      <b/>
      <color theme="1"/>
      <family val="1"/>
      <sz val="11"/>
      <name val="Times New Roman"/>
    </font>
    <font>
      <b/>
      <color rgb="FFFF0000"/>
      <family val="1"/>
      <sz val="11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b/>
      <family val="1"/>
      <sz val="12"/>
      <name val="Times New Roman"/>
    </font>
    <font>
      <family val="2"/>
      <scheme val="minor"/>
      <sz val="11"/>
      <name val="Calibri"/>
    </font>
    <font>
      <family val="1"/>
      <sz val="12"/>
      <name val="Times New Roman"/>
    </font>
    <font>
      <b/>
      <u/>
      <color theme="1"/>
      <family val="1"/>
      <sz val="14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49" fontId="3" fillId="3" borderId="9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164" fontId="3" fillId="3" borderId="9" xfId="0" applyNumberFormat="1" applyFont="1" applyFill="1" applyBorder="1" applyAlignment="1" applyProtection="1">
      <alignment horizontal="right"/>
      <protection locked="0"/>
    </xf>
    <xf numFmtId="0" fontId="4" fillId="0" borderId="0" xfId="0" applyFont="1"/>
    <xf numFmtId="0" fontId="0" fillId="4" borderId="12" xfId="0" applyFill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5" fillId="5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39" fontId="5" fillId="5" borderId="9" xfId="0" applyNumberFormat="1" applyFont="1" applyFill="1" applyBorder="1" applyAlignment="1">
      <alignment horizontal="center" vertical="top" wrapText="1"/>
    </xf>
    <xf numFmtId="39" fontId="5" fillId="5" borderId="11" xfId="0" applyNumberFormat="1" applyFont="1" applyFill="1" applyBorder="1" applyAlignment="1">
      <alignment horizontal="center" vertical="top" wrapText="1"/>
    </xf>
    <xf numFmtId="0" fontId="6" fillId="6" borderId="17" xfId="0" applyFont="1" applyFill="1" applyBorder="1" applyAlignment="1">
      <alignment wrapText="1"/>
    </xf>
    <xf numFmtId="0" fontId="5" fillId="6" borderId="9" xfId="0" applyFont="1" applyFill="1" applyBorder="1" applyAlignment="1">
      <alignment wrapText="1"/>
    </xf>
    <xf numFmtId="2" fontId="7" fillId="6" borderId="9" xfId="0" applyNumberFormat="1" applyFont="1" applyFill="1" applyBorder="1" applyAlignment="1">
      <alignment horizontal="right"/>
    </xf>
    <xf numFmtId="2" fontId="7" fillId="3" borderId="9" xfId="0" applyNumberFormat="1" applyFont="1" applyFill="1" applyBorder="1" applyAlignment="1">
      <alignment horizontal="right"/>
    </xf>
    <xf numFmtId="2" fontId="7" fillId="3" borderId="19" xfId="0" applyNumberFormat="1" applyFont="1" applyFill="1" applyBorder="1" applyAlignment="1">
      <alignment horizontal="right"/>
    </xf>
    <xf numFmtId="0" fontId="6" fillId="0" borderId="17" xfId="0" applyFont="1" applyBorder="1" applyAlignment="1">
      <alignment wrapText="1"/>
    </xf>
    <xf numFmtId="0" fontId="6" fillId="0" borderId="9" xfId="0" applyFont="1" applyBorder="1" applyAlignment="1">
      <alignment wrapText="1"/>
    </xf>
    <xf numFmtId="2" fontId="6" fillId="0" borderId="9" xfId="0" applyNumberFormat="1" applyFont="1" applyBorder="1" applyAlignment="1" applyProtection="1">
      <alignment horizontal="right" vertical="top" wrapText="1"/>
      <protection locked="0"/>
    </xf>
    <xf numFmtId="0" fontId="6" fillId="6" borderId="17" xfId="0" applyFont="1" applyFill="1" applyBorder="1" applyAlignment="1">
      <alignment horizontal="right" wrapText="1"/>
    </xf>
    <xf numFmtId="0" fontId="6" fillId="0" borderId="17" xfId="0" applyFont="1" applyBorder="1" applyAlignment="1">
      <alignment vertical="top" wrapText="1"/>
    </xf>
    <xf numFmtId="0" fontId="6" fillId="6" borderId="17" xfId="0" applyFont="1" applyFill="1" applyBorder="1" applyAlignment="1">
      <alignment vertical="top" wrapText="1"/>
    </xf>
    <xf numFmtId="0" fontId="6" fillId="6" borderId="17" xfId="0" applyFont="1" applyFill="1" applyBorder="1" applyAlignment="1">
      <alignment horizontal="right" vertical="top" wrapText="1"/>
    </xf>
    <xf numFmtId="0" fontId="6" fillId="0" borderId="20" xfId="0" applyFont="1" applyBorder="1" applyAlignment="1">
      <alignment vertical="top" wrapText="1"/>
    </xf>
    <xf numFmtId="2" fontId="6" fillId="0" borderId="21" xfId="0" applyNumberFormat="1" applyFont="1" applyBorder="1" applyAlignment="1" applyProtection="1">
      <alignment horizontal="right" vertical="top" wrapText="1"/>
      <protection locked="0"/>
    </xf>
    <xf numFmtId="0" fontId="8" fillId="0" borderId="0" xfId="0" applyFont="1"/>
    <xf numFmtId="0" fontId="9" fillId="6" borderId="20" xfId="0" applyFont="1" applyFill="1" applyBorder="1" applyAlignment="1">
      <alignment vertical="top" wrapText="1"/>
    </xf>
    <xf numFmtId="0" fontId="7" fillId="6" borderId="21" xfId="0" applyFont="1" applyFill="1" applyBorder="1" applyAlignment="1">
      <alignment wrapText="1"/>
    </xf>
    <xf numFmtId="2" fontId="7" fillId="6" borderId="21" xfId="0" applyNumberFormat="1" applyFont="1" applyFill="1" applyBorder="1" applyAlignment="1">
      <alignment horizontal="right"/>
    </xf>
    <xf numFmtId="2" fontId="7" fillId="3" borderId="21" xfId="0" applyNumberFormat="1" applyFont="1" applyFill="1" applyBorder="1" applyAlignment="1">
      <alignment horizontal="right"/>
    </xf>
    <xf numFmtId="2" fontId="7" fillId="3" borderId="22" xfId="0" applyNumberFormat="1" applyFont="1" applyFill="1" applyBorder="1" applyAlignment="1">
      <alignment horizontal="right"/>
    </xf>
    <xf numFmtId="0" fontId="9" fillId="0" borderId="17" xfId="0" applyFont="1" applyBorder="1" applyAlignment="1">
      <alignment vertical="top" wrapText="1"/>
    </xf>
    <xf numFmtId="0" fontId="9" fillId="0" borderId="9" xfId="0" applyFont="1" applyBorder="1" applyAlignment="1">
      <alignment wrapText="1"/>
    </xf>
    <xf numFmtId="2" fontId="9" fillId="0" borderId="9" xfId="0" applyNumberFormat="1" applyFont="1" applyBorder="1" applyAlignment="1" applyProtection="1">
      <alignment horizontal="right" vertical="top" wrapText="1"/>
      <protection locked="0"/>
    </xf>
    <xf numFmtId="0" fontId="9" fillId="6" borderId="17" xfId="0" applyFont="1" applyFill="1" applyBorder="1" applyAlignment="1">
      <alignment vertical="top" wrapText="1"/>
    </xf>
    <xf numFmtId="0" fontId="7" fillId="6" borderId="9" xfId="0" applyFont="1" applyFill="1" applyBorder="1" applyAlignment="1">
      <alignment wrapText="1"/>
    </xf>
    <xf numFmtId="0" fontId="9" fillId="0" borderId="23" xfId="0" applyFont="1" applyBorder="1" applyAlignment="1">
      <alignment vertical="top" wrapText="1"/>
    </xf>
    <xf numFmtId="2" fontId="9" fillId="0" borderId="12" xfId="0" applyNumberFormat="1" applyFont="1" applyBorder="1" applyAlignment="1" applyProtection="1">
      <alignment horizontal="right" vertical="top" wrapText="1"/>
      <protection locked="0"/>
    </xf>
    <xf numFmtId="0" fontId="9" fillId="0" borderId="24" xfId="0" applyFont="1" applyBorder="1" applyAlignment="1">
      <alignment vertical="top" wrapText="1"/>
    </xf>
    <xf numFmtId="0" fontId="7" fillId="0" borderId="25" xfId="0" applyFont="1" applyBorder="1" applyAlignment="1">
      <alignment wrapText="1"/>
    </xf>
    <xf numFmtId="2" fontId="7" fillId="0" borderId="25" xfId="0" applyNumberFormat="1" applyFont="1" applyBorder="1" applyAlignment="1" applyProtection="1">
      <alignment horizontal="right" vertical="top" wrapText="1"/>
      <protection locked="0"/>
    </xf>
    <xf numFmtId="2" fontId="7" fillId="3" borderId="25" xfId="0" applyNumberFormat="1" applyFont="1" applyFill="1" applyBorder="1" applyAlignment="1" applyProtection="1">
      <alignment horizontal="right" vertical="top" wrapText="1"/>
      <protection locked="0"/>
    </xf>
    <xf numFmtId="0" fontId="10" fillId="4" borderId="0" xfId="0" applyFont="1" applyFill="1"/>
    <xf numFmtId="0" fontId="11" fillId="4" borderId="0" xfId="0" applyFont="1" applyFill="1" applyAlignment="1">
      <alignment horizontal="left"/>
    </xf>
    <xf numFmtId="0" fontId="11" fillId="0" borderId="0" xfId="0" applyFont="1"/>
    <xf numFmtId="0" fontId="12" fillId="4" borderId="0" xfId="0" applyFont="1" applyFill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Views>
    <sheetView workbookViewId="0" zoomScale="100" zoomScaleNormal="100">
      <selection activeCell="A4" sqref="A4"/>
    </sheetView>
  </sheetViews>
  <sheetFormatPr defaultRowHeight="15" outlineLevelRow="0" outlineLevelCol="0" x14ac:dyDescent="0.25" defaultColWidth="8.85546875"/>
  <cols>
    <col min="2" max="2" width="19.85546875" customWidth="1"/>
    <col min="3" max="3" width="19.140625" customWidth="1"/>
    <col min="4" max="4" width="16.85546875" customWidth="1"/>
    <col min="5" max="5" width="14" customWidth="1"/>
    <col min="6" max="7" width="15.28515625" customWidth="1"/>
    <col min="8" max="8" width="13.5703125" customWidth="1"/>
    <col min="9" max="10" width="12" customWidth="1"/>
    <col min="11" max="13" width="12.5703125" customWidth="1"/>
    <col min="14" max="14" width="11.5703125" customWidth="1"/>
    <col min="15" max="16" width="15.5703125" customWidth="1"/>
    <col min="17" max="17" width="12.140625" customWidth="1"/>
    <col min="18" max="19" width="13.5703125" customWidth="1"/>
    <col min="20" max="20" width="15.42578125" customWidth="1"/>
    <col min="21" max="22" width="14.7109375" customWidth="1"/>
    <col min="23" max="23" width="12.42578125" customWidth="1"/>
    <col min="24" max="25" width="14.28515625" customWidth="1"/>
    <col min="26" max="26" width="13.28515625" customWidth="1"/>
  </cols>
  <sheetData>
    <row r="1" spans="1:1" x14ac:dyDescent="0.25">
      <c r="A1" s="1" t="s">
        <v>0</v>
      </c>
    </row>
    <row r="4" spans="1:27" x14ac:dyDescent="0.25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</row>
    <row r="5" spans="1:27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</row>
    <row r="6" spans="1:27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7"/>
    </row>
    <row r="7" spans="1:27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</row>
    <row r="8" spans="1:27" x14ac:dyDescent="0.25">
      <c r="A8" s="11" t="s">
        <v>2</v>
      </c>
      <c r="B8" s="12"/>
      <c r="C8" s="13" t="s">
        <v>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5" t="s">
        <v>4</v>
      </c>
      <c r="B9" s="16"/>
      <c r="C9" s="13">
        <v>2026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25">
      <c r="A10" s="17" t="s">
        <v>5</v>
      </c>
      <c r="B10" s="17"/>
      <c r="C10" s="18" t="s">
        <v>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x14ac:dyDescent="0.25">
      <c r="A11" s="17" t="s">
        <v>7</v>
      </c>
      <c r="B11" s="17"/>
      <c r="C11" s="18" t="s">
        <v>8</v>
      </c>
      <c r="D11" s="14"/>
      <c r="E11" s="14"/>
      <c r="F11" s="14"/>
      <c r="G11" s="14"/>
      <c r="H11" s="14"/>
      <c r="I11" s="14"/>
      <c r="J11" s="14"/>
      <c r="K11" s="19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3" ht="15.75" customHeight="1" spans="23:26" x14ac:dyDescent="0.25">
      <c r="W13" s="20" t="s">
        <v>9</v>
      </c>
      <c r="X13" s="20"/>
      <c r="Y13" s="20"/>
      <c r="Z13" s="20"/>
    </row>
    <row r="14" ht="15.75" customHeight="1" spans="1:26" x14ac:dyDescent="0.25">
      <c r="A14" s="21" t="s">
        <v>10</v>
      </c>
      <c r="B14" s="22" t="s">
        <v>11</v>
      </c>
      <c r="C14" s="22" t="s">
        <v>12</v>
      </c>
      <c r="D14" s="22"/>
      <c r="E14" s="23"/>
      <c r="F14" s="22" t="s">
        <v>13</v>
      </c>
      <c r="G14" s="22"/>
      <c r="H14" s="23"/>
      <c r="I14" s="22" t="s">
        <v>14</v>
      </c>
      <c r="J14" s="22"/>
      <c r="K14" s="23"/>
      <c r="L14" s="22" t="s">
        <v>15</v>
      </c>
      <c r="M14" s="22"/>
      <c r="N14" s="23"/>
      <c r="O14" s="22" t="s">
        <v>16</v>
      </c>
      <c r="P14" s="22"/>
      <c r="Q14" s="23"/>
      <c r="R14" s="22" t="s">
        <v>17</v>
      </c>
      <c r="S14" s="22"/>
      <c r="T14" s="23"/>
      <c r="U14" s="22" t="s">
        <v>18</v>
      </c>
      <c r="V14" s="22"/>
      <c r="W14" s="23"/>
      <c r="X14" s="22" t="s">
        <v>19</v>
      </c>
      <c r="Y14" s="24"/>
      <c r="Z14" s="25"/>
    </row>
    <row r="15" spans="1:26" x14ac:dyDescent="0.25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  <c r="Z15" s="30"/>
    </row>
    <row r="16" ht="36" customHeight="1" spans="1:26" s="31" customFormat="1" x14ac:dyDescent="0.25">
      <c r="A16" s="26"/>
      <c r="B16" s="27"/>
      <c r="C16" s="27" t="s">
        <v>20</v>
      </c>
      <c r="D16" s="27" t="s">
        <v>21</v>
      </c>
      <c r="E16" s="32" t="s">
        <v>22</v>
      </c>
      <c r="F16" s="27" t="s">
        <v>20</v>
      </c>
      <c r="G16" s="27" t="s">
        <v>21</v>
      </c>
      <c r="H16" s="32" t="s">
        <v>22</v>
      </c>
      <c r="I16" s="27" t="s">
        <v>20</v>
      </c>
      <c r="J16" s="27" t="s">
        <v>21</v>
      </c>
      <c r="K16" s="32" t="s">
        <v>22</v>
      </c>
      <c r="L16" s="27" t="s">
        <v>20</v>
      </c>
      <c r="M16" s="27" t="s">
        <v>21</v>
      </c>
      <c r="N16" s="32" t="s">
        <v>22</v>
      </c>
      <c r="O16" s="27" t="s">
        <v>20</v>
      </c>
      <c r="P16" s="27" t="s">
        <v>21</v>
      </c>
      <c r="Q16" s="32" t="s">
        <v>22</v>
      </c>
      <c r="R16" s="27" t="s">
        <v>20</v>
      </c>
      <c r="S16" s="27" t="s">
        <v>21</v>
      </c>
      <c r="T16" s="32" t="s">
        <v>22</v>
      </c>
      <c r="U16" s="27" t="s">
        <v>20</v>
      </c>
      <c r="V16" s="27" t="s">
        <v>21</v>
      </c>
      <c r="W16" s="32" t="s">
        <v>22</v>
      </c>
      <c r="X16" s="27" t="s">
        <v>20</v>
      </c>
      <c r="Y16" s="27" t="s">
        <v>21</v>
      </c>
      <c r="Z16" s="33" t="s">
        <v>22</v>
      </c>
    </row>
    <row r="17" ht="15.75" customHeight="1" spans="1:26" x14ac:dyDescent="0.25">
      <c r="A17" s="34">
        <v>1</v>
      </c>
      <c r="B17" s="35" t="s">
        <v>23</v>
      </c>
      <c r="C17" s="36">
        <f>C18+C19+C20</f>
        <v>0</v>
      </c>
      <c r="D17" s="36">
        <f>D18+D19+D20</f>
        <v>0</v>
      </c>
      <c r="E17" s="36">
        <f t="shared" ref="E17:W17" si="0">E18+E19+E20</f>
        <v>0</v>
      </c>
      <c r="F17" s="36">
        <f t="shared" si="0"/>
        <v>0</v>
      </c>
      <c r="G17" s="36">
        <f>G18+G19+G20</f>
        <v>0</v>
      </c>
      <c r="H17" s="36">
        <f t="shared" si="0"/>
        <v>0</v>
      </c>
      <c r="I17" s="36">
        <f t="shared" si="0"/>
        <v>0</v>
      </c>
      <c r="J17" s="36">
        <f>J18+J19+J20</f>
        <v>0</v>
      </c>
      <c r="K17" s="36">
        <f t="shared" si="0"/>
        <v>0</v>
      </c>
      <c r="L17" s="36">
        <f t="shared" si="0"/>
        <v>0</v>
      </c>
      <c r="M17" s="36">
        <f>M18+M19+M20</f>
        <v>0</v>
      </c>
      <c r="N17" s="36">
        <f t="shared" si="0"/>
        <v>0</v>
      </c>
      <c r="O17" s="36">
        <f t="shared" si="0"/>
        <v>0</v>
      </c>
      <c r="P17" s="36">
        <f>P18+P19+P20</f>
        <v>0</v>
      </c>
      <c r="Q17" s="36">
        <f t="shared" si="0"/>
        <v>0</v>
      </c>
      <c r="R17" s="36">
        <f t="shared" si="0"/>
        <v>0</v>
      </c>
      <c r="S17" s="36">
        <f>S18+S19+S20</f>
        <v>0</v>
      </c>
      <c r="T17" s="36">
        <f t="shared" si="0"/>
        <v>0</v>
      </c>
      <c r="U17" s="36">
        <f t="shared" si="0"/>
        <v>0</v>
      </c>
      <c r="V17" s="36">
        <f>V18+V19+V20</f>
        <v>0</v>
      </c>
      <c r="W17" s="36">
        <f t="shared" si="0"/>
        <v>0</v>
      </c>
      <c r="X17" s="37">
        <f>X18+X19+X20</f>
        <v>0</v>
      </c>
      <c r="Y17" s="37">
        <f>Y18+Y19+Y20</f>
        <v>0</v>
      </c>
      <c r="Z17" s="38">
        <f>Z18+Z19+Z20</f>
        <v>0</v>
      </c>
    </row>
    <row r="18" ht="15.75" customHeight="1" spans="1:26" x14ac:dyDescent="0.25">
      <c r="A18" s="39">
        <v>1.1</v>
      </c>
      <c r="B18" s="40" t="s">
        <v>24</v>
      </c>
      <c r="C18" s="41">
        <v>510000</v>
      </c>
      <c r="D18" s="41">
        <v>5</v>
      </c>
      <c r="E18" s="41">
        <v>10</v>
      </c>
      <c r="F18" s="41">
        <v>525000</v>
      </c>
      <c r="G18" s="41">
        <v>5</v>
      </c>
      <c r="H18" s="41">
        <v>10</v>
      </c>
      <c r="I18" s="41">
        <v>540000</v>
      </c>
      <c r="J18" s="41">
        <v>5</v>
      </c>
      <c r="K18" s="41">
        <v>10</v>
      </c>
      <c r="L18" s="41">
        <v>555000</v>
      </c>
      <c r="M18" s="41">
        <v>5</v>
      </c>
      <c r="N18" s="41">
        <v>10</v>
      </c>
      <c r="O18" s="41">
        <v>570000</v>
      </c>
      <c r="P18" s="41">
        <v>5</v>
      </c>
      <c r="Q18" s="41">
        <v>10</v>
      </c>
      <c r="R18" s="41">
        <v>585000</v>
      </c>
      <c r="S18" s="41">
        <v>5</v>
      </c>
      <c r="T18" s="41">
        <v>10</v>
      </c>
      <c r="U18" s="41">
        <v>600000</v>
      </c>
      <c r="V18" s="41">
        <v>5</v>
      </c>
      <c r="W18" s="41">
        <v>10</v>
      </c>
      <c r="X18" s="37">
        <f t="shared" ref="X18:Z22" si="1">C18+F18+I18+L18+O18+R18+U18</f>
        <v>0</v>
      </c>
      <c r="Y18" s="37">
        <f t="shared" si="1"/>
        <v>0</v>
      </c>
      <c r="Z18" s="38">
        <f t="shared" si="1"/>
        <v>0</v>
      </c>
    </row>
    <row r="19" ht="15.75" customHeight="1" spans="1:26" x14ac:dyDescent="0.25">
      <c r="A19" s="39">
        <v>1.2</v>
      </c>
      <c r="B19" s="40" t="s">
        <v>25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37">
        <f t="shared" si="1"/>
        <v>0</v>
      </c>
      <c r="Y19" s="37">
        <f t="shared" si="1"/>
        <v>0</v>
      </c>
      <c r="Z19" s="38">
        <f t="shared" si="1"/>
        <v>0</v>
      </c>
    </row>
    <row r="20" ht="15.75" customHeight="1" spans="1:26" x14ac:dyDescent="0.25">
      <c r="A20" s="39">
        <v>1.3</v>
      </c>
      <c r="B20" s="40" t="s">
        <v>26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37">
        <f t="shared" si="1"/>
        <v>0</v>
      </c>
      <c r="Y20" s="37">
        <f t="shared" si="1"/>
        <v>0</v>
      </c>
      <c r="Z20" s="38">
        <f t="shared" si="1"/>
        <v>0</v>
      </c>
    </row>
    <row r="21" ht="15.75" customHeight="1" spans="1:26" x14ac:dyDescent="0.25">
      <c r="A21" s="39"/>
      <c r="B21" s="40" t="s">
        <v>27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37">
        <f t="shared" si="1"/>
        <v>0</v>
      </c>
      <c r="Y21" s="37">
        <f t="shared" si="1"/>
        <v>0</v>
      </c>
      <c r="Z21" s="38">
        <f t="shared" si="1"/>
        <v>0</v>
      </c>
    </row>
    <row r="22" ht="15.75" customHeight="1" spans="1:26" x14ac:dyDescent="0.25">
      <c r="A22" s="39"/>
      <c r="B22" s="40" t="s">
        <v>28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37">
        <f t="shared" si="1"/>
        <v>0</v>
      </c>
      <c r="Y22" s="37">
        <f t="shared" si="1"/>
        <v>0</v>
      </c>
      <c r="Z22" s="38">
        <f t="shared" si="1"/>
        <v>0</v>
      </c>
    </row>
    <row r="23" ht="15" customHeight="1" spans="1:26" x14ac:dyDescent="0.25">
      <c r="A23" s="42" t="s">
        <v>29</v>
      </c>
      <c r="B23" s="35" t="s">
        <v>30</v>
      </c>
      <c r="C23" s="36">
        <f>C24+C25+C26</f>
        <v>0</v>
      </c>
      <c r="D23" s="36">
        <f>D24+D25+D26</f>
        <v>0</v>
      </c>
      <c r="E23" s="36">
        <f t="shared" ref="E23:Z23" si="2">E24+E25+E26</f>
        <v>0</v>
      </c>
      <c r="F23" s="36">
        <f t="shared" si="2"/>
        <v>0</v>
      </c>
      <c r="G23" s="36">
        <f>G24+G25+G26</f>
        <v>0</v>
      </c>
      <c r="H23" s="36">
        <f t="shared" si="2"/>
        <v>0</v>
      </c>
      <c r="I23" s="36">
        <f t="shared" si="2"/>
        <v>0</v>
      </c>
      <c r="J23" s="36">
        <f>J24+J25+J26</f>
        <v>0</v>
      </c>
      <c r="K23" s="36">
        <f t="shared" si="2"/>
        <v>0</v>
      </c>
      <c r="L23" s="36">
        <f t="shared" si="2"/>
        <v>0</v>
      </c>
      <c r="M23" s="36">
        <f>M24+M25+M26</f>
        <v>0</v>
      </c>
      <c r="N23" s="36">
        <f t="shared" si="2"/>
        <v>0</v>
      </c>
      <c r="O23" s="36">
        <f t="shared" si="2"/>
        <v>0</v>
      </c>
      <c r="P23" s="36">
        <f>P24+P25+P26</f>
        <v>0</v>
      </c>
      <c r="Q23" s="36">
        <f t="shared" si="2"/>
        <v>0</v>
      </c>
      <c r="R23" s="36">
        <f t="shared" si="2"/>
        <v>0</v>
      </c>
      <c r="S23" s="36">
        <f>S24+S25+S26</f>
        <v>0</v>
      </c>
      <c r="T23" s="36">
        <f t="shared" si="2"/>
        <v>0</v>
      </c>
      <c r="U23" s="36">
        <f t="shared" si="2"/>
        <v>0</v>
      </c>
      <c r="V23" s="36">
        <f>V24+V25+V26</f>
        <v>0</v>
      </c>
      <c r="W23" s="36">
        <f t="shared" si="2"/>
        <v>0</v>
      </c>
      <c r="X23" s="37">
        <f t="shared" si="2"/>
        <v>0</v>
      </c>
      <c r="Y23" s="37">
        <f>Y24+Y25+Y26</f>
        <v>0</v>
      </c>
      <c r="Z23" s="38">
        <f t="shared" si="2"/>
        <v>0</v>
      </c>
    </row>
    <row r="24" ht="15.75" customHeight="1" spans="1:26" x14ac:dyDescent="0.25">
      <c r="A24" s="43">
        <v>2.1</v>
      </c>
      <c r="B24" s="40" t="s">
        <v>24</v>
      </c>
      <c r="C24" s="41">
        <v>520000</v>
      </c>
      <c r="D24" s="41">
        <v>6</v>
      </c>
      <c r="E24" s="41">
        <v>12</v>
      </c>
      <c r="F24" s="41">
        <v>535000</v>
      </c>
      <c r="G24" s="41">
        <v>6</v>
      </c>
      <c r="H24" s="41">
        <v>12</v>
      </c>
      <c r="I24" s="41">
        <v>550000</v>
      </c>
      <c r="J24" s="41">
        <v>6</v>
      </c>
      <c r="K24" s="41">
        <v>12</v>
      </c>
      <c r="L24" s="41">
        <v>565000</v>
      </c>
      <c r="M24" s="41">
        <v>6</v>
      </c>
      <c r="N24" s="41">
        <v>12</v>
      </c>
      <c r="O24" s="41">
        <v>580000</v>
      </c>
      <c r="P24" s="41">
        <v>6</v>
      </c>
      <c r="Q24" s="41">
        <v>12</v>
      </c>
      <c r="R24" s="41">
        <v>595000</v>
      </c>
      <c r="S24" s="41">
        <v>6</v>
      </c>
      <c r="T24" s="41">
        <v>12</v>
      </c>
      <c r="U24" s="41">
        <v>610000</v>
      </c>
      <c r="V24" s="41">
        <v>6</v>
      </c>
      <c r="W24" s="41">
        <v>12</v>
      </c>
      <c r="X24" s="37">
        <f t="shared" ref="X24:Z28" si="3">C24+F24+I24+L24+O24+R24+U24</f>
        <v>0</v>
      </c>
      <c r="Y24" s="37">
        <f t="shared" si="3"/>
        <v>0</v>
      </c>
      <c r="Z24" s="38">
        <f t="shared" si="3"/>
        <v>0</v>
      </c>
    </row>
    <row r="25" ht="15.75" customHeight="1" spans="1:26" x14ac:dyDescent="0.25">
      <c r="A25" s="43">
        <v>2.2</v>
      </c>
      <c r="B25" s="40" t="s">
        <v>25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37">
        <f t="shared" si="3"/>
        <v>0</v>
      </c>
      <c r="Y25" s="37">
        <f t="shared" si="3"/>
        <v>0</v>
      </c>
      <c r="Z25" s="38">
        <f t="shared" si="3"/>
        <v>0</v>
      </c>
    </row>
    <row r="26" ht="15.75" customHeight="1" spans="1:26" x14ac:dyDescent="0.25">
      <c r="A26" s="43">
        <v>2.3</v>
      </c>
      <c r="B26" s="40" t="s">
        <v>26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37">
        <f t="shared" si="3"/>
        <v>0</v>
      </c>
      <c r="Y26" s="37">
        <f t="shared" si="3"/>
        <v>0</v>
      </c>
      <c r="Z26" s="38">
        <f t="shared" si="3"/>
        <v>0</v>
      </c>
    </row>
    <row r="27" ht="15.75" customHeight="1" spans="1:26" x14ac:dyDescent="0.25">
      <c r="A27" s="43"/>
      <c r="B27" s="40" t="s">
        <v>27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37">
        <f t="shared" si="3"/>
        <v>0</v>
      </c>
      <c r="Y27" s="37">
        <f t="shared" si="3"/>
        <v>0</v>
      </c>
      <c r="Z27" s="38">
        <f t="shared" si="3"/>
        <v>0</v>
      </c>
    </row>
    <row r="28" ht="15.75" customHeight="1" spans="1:26" x14ac:dyDescent="0.25">
      <c r="A28" s="43"/>
      <c r="B28" s="40" t="s">
        <v>28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37">
        <f t="shared" si="3"/>
        <v>0</v>
      </c>
      <c r="Y28" s="37">
        <f t="shared" si="3"/>
        <v>0</v>
      </c>
      <c r="Z28" s="38">
        <f t="shared" si="3"/>
        <v>0</v>
      </c>
    </row>
    <row r="29" ht="15.75" customHeight="1" spans="1:26" x14ac:dyDescent="0.25">
      <c r="A29" s="44">
        <v>3</v>
      </c>
      <c r="B29" s="35" t="s">
        <v>31</v>
      </c>
      <c r="C29" s="36">
        <f>C30+C31+C32</f>
        <v>0</v>
      </c>
      <c r="D29" s="36">
        <f>D30+D31+D32</f>
        <v>0</v>
      </c>
      <c r="E29" s="36">
        <f t="shared" ref="E29:Z29" si="4">E30+E31+E32</f>
        <v>0</v>
      </c>
      <c r="F29" s="36">
        <f t="shared" si="4"/>
        <v>0</v>
      </c>
      <c r="G29" s="36">
        <f>G30+G31+G32</f>
        <v>0</v>
      </c>
      <c r="H29" s="36">
        <f t="shared" si="4"/>
        <v>0</v>
      </c>
      <c r="I29" s="36">
        <f t="shared" si="4"/>
        <v>0</v>
      </c>
      <c r="J29" s="36">
        <f>J30+J31+J32</f>
        <v>0</v>
      </c>
      <c r="K29" s="36">
        <f t="shared" si="4"/>
        <v>0</v>
      </c>
      <c r="L29" s="36">
        <f t="shared" si="4"/>
        <v>0</v>
      </c>
      <c r="M29" s="36">
        <f>M30+M31+M32</f>
        <v>0</v>
      </c>
      <c r="N29" s="36">
        <f t="shared" si="4"/>
        <v>0</v>
      </c>
      <c r="O29" s="36">
        <f t="shared" si="4"/>
        <v>0</v>
      </c>
      <c r="P29" s="36">
        <f>P30+P31+P32</f>
        <v>0</v>
      </c>
      <c r="Q29" s="36">
        <f t="shared" si="4"/>
        <v>0</v>
      </c>
      <c r="R29" s="36">
        <f t="shared" si="4"/>
        <v>0</v>
      </c>
      <c r="S29" s="36">
        <f>S30+S31+S32</f>
        <v>0</v>
      </c>
      <c r="T29" s="36">
        <f t="shared" si="4"/>
        <v>0</v>
      </c>
      <c r="U29" s="36">
        <f t="shared" si="4"/>
        <v>0</v>
      </c>
      <c r="V29" s="36">
        <f>V30+V31+V32</f>
        <v>0</v>
      </c>
      <c r="W29" s="36">
        <f t="shared" si="4"/>
        <v>0</v>
      </c>
      <c r="X29" s="37">
        <f t="shared" si="4"/>
        <v>0</v>
      </c>
      <c r="Y29" s="37">
        <f>Y30+Y31+Y32</f>
        <v>0</v>
      </c>
      <c r="Z29" s="38">
        <f t="shared" si="4"/>
        <v>0</v>
      </c>
    </row>
    <row r="30" ht="15.75" customHeight="1" spans="1:26" x14ac:dyDescent="0.25">
      <c r="A30" s="43">
        <v>3.1</v>
      </c>
      <c r="B30" s="40" t="s">
        <v>24</v>
      </c>
      <c r="C30" s="41">
        <v>530000</v>
      </c>
      <c r="D30" s="41">
        <v>7</v>
      </c>
      <c r="E30" s="41">
        <v>14</v>
      </c>
      <c r="F30" s="41">
        <v>545000</v>
      </c>
      <c r="G30" s="41">
        <v>7</v>
      </c>
      <c r="H30" s="41">
        <v>14</v>
      </c>
      <c r="I30" s="41">
        <v>560000</v>
      </c>
      <c r="J30" s="41">
        <v>7</v>
      </c>
      <c r="K30" s="41">
        <v>14</v>
      </c>
      <c r="L30" s="41">
        <v>575000</v>
      </c>
      <c r="M30" s="41">
        <v>7</v>
      </c>
      <c r="N30" s="41">
        <v>14</v>
      </c>
      <c r="O30" s="41">
        <v>590000</v>
      </c>
      <c r="P30" s="41">
        <v>7</v>
      </c>
      <c r="Q30" s="41">
        <v>14</v>
      </c>
      <c r="R30" s="41">
        <v>605000</v>
      </c>
      <c r="S30" s="41">
        <v>7</v>
      </c>
      <c r="T30" s="41">
        <v>14</v>
      </c>
      <c r="U30" s="41">
        <v>620000</v>
      </c>
      <c r="V30" s="41">
        <v>7</v>
      </c>
      <c r="W30" s="41">
        <v>14</v>
      </c>
      <c r="X30" s="37">
        <f t="shared" ref="X30:Z34" si="5">C30+F30+I30+L30+O30+R30+U30</f>
        <v>0</v>
      </c>
      <c r="Y30" s="37">
        <f t="shared" si="5"/>
        <v>0</v>
      </c>
      <c r="Z30" s="38">
        <f t="shared" si="5"/>
        <v>0</v>
      </c>
    </row>
    <row r="31" ht="15.75" customHeight="1" spans="1:26" x14ac:dyDescent="0.25">
      <c r="A31" s="43">
        <v>3.2</v>
      </c>
      <c r="B31" s="40" t="s">
        <v>25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37">
        <f t="shared" si="5"/>
        <v>0</v>
      </c>
      <c r="Y31" s="37">
        <f t="shared" si="5"/>
        <v>0</v>
      </c>
      <c r="Z31" s="38">
        <f t="shared" si="5"/>
        <v>0</v>
      </c>
    </row>
    <row r="32" ht="15.75" customHeight="1" spans="1:26" x14ac:dyDescent="0.25">
      <c r="A32" s="43">
        <v>3.3</v>
      </c>
      <c r="B32" s="40" t="s">
        <v>26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37">
        <f t="shared" si="5"/>
        <v>0</v>
      </c>
      <c r="Y32" s="37">
        <f t="shared" si="5"/>
        <v>0</v>
      </c>
      <c r="Z32" s="38">
        <f t="shared" si="5"/>
        <v>0</v>
      </c>
    </row>
    <row r="33" ht="15.75" customHeight="1" spans="1:26" x14ac:dyDescent="0.25">
      <c r="A33" s="43"/>
      <c r="B33" s="40" t="s">
        <v>27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37">
        <f t="shared" si="5"/>
        <v>0</v>
      </c>
      <c r="Y33" s="37">
        <f t="shared" si="5"/>
        <v>0</v>
      </c>
      <c r="Z33" s="38">
        <f t="shared" si="5"/>
        <v>0</v>
      </c>
    </row>
    <row r="34" ht="15.75" customHeight="1" spans="1:26" x14ac:dyDescent="0.25">
      <c r="A34" s="43"/>
      <c r="B34" s="40" t="s">
        <v>28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37">
        <f t="shared" si="5"/>
        <v>0</v>
      </c>
      <c r="Y34" s="37">
        <f t="shared" si="5"/>
        <v>0</v>
      </c>
      <c r="Z34" s="38">
        <f t="shared" si="5"/>
        <v>0</v>
      </c>
    </row>
    <row r="35" ht="15.75" customHeight="1" spans="1:26" x14ac:dyDescent="0.25">
      <c r="A35" s="45">
        <v>4</v>
      </c>
      <c r="B35" s="35" t="s">
        <v>32</v>
      </c>
      <c r="C35" s="36">
        <f>C36+C37+C38</f>
        <v>0</v>
      </c>
      <c r="D35" s="36">
        <f>D36+D37+D38</f>
        <v>0</v>
      </c>
      <c r="E35" s="36">
        <f t="shared" ref="E35:Z35" si="6">E36+E37+E38</f>
        <v>0</v>
      </c>
      <c r="F35" s="36">
        <f t="shared" si="6"/>
        <v>0</v>
      </c>
      <c r="G35" s="36">
        <f>G36+G37+G38</f>
        <v>0</v>
      </c>
      <c r="H35" s="36">
        <f t="shared" si="6"/>
        <v>0</v>
      </c>
      <c r="I35" s="36">
        <f t="shared" si="6"/>
        <v>0</v>
      </c>
      <c r="J35" s="36">
        <f>J36+J37+J38</f>
        <v>0</v>
      </c>
      <c r="K35" s="36">
        <f t="shared" si="6"/>
        <v>0</v>
      </c>
      <c r="L35" s="36">
        <f t="shared" si="6"/>
        <v>0</v>
      </c>
      <c r="M35" s="36">
        <f>M36+M37+M38</f>
        <v>0</v>
      </c>
      <c r="N35" s="36">
        <f t="shared" si="6"/>
        <v>0</v>
      </c>
      <c r="O35" s="36">
        <f t="shared" si="6"/>
        <v>0</v>
      </c>
      <c r="P35" s="36">
        <f>P36+P37+P38</f>
        <v>0</v>
      </c>
      <c r="Q35" s="36">
        <f t="shared" si="6"/>
        <v>0</v>
      </c>
      <c r="R35" s="36">
        <f t="shared" si="6"/>
        <v>0</v>
      </c>
      <c r="S35" s="36">
        <f>S36+S37+S38</f>
        <v>0</v>
      </c>
      <c r="T35" s="36">
        <f t="shared" si="6"/>
        <v>0</v>
      </c>
      <c r="U35" s="36">
        <f t="shared" si="6"/>
        <v>0</v>
      </c>
      <c r="V35" s="36">
        <f>V36+V37+V38</f>
        <v>0</v>
      </c>
      <c r="W35" s="36">
        <f t="shared" si="6"/>
        <v>0</v>
      </c>
      <c r="X35" s="37">
        <f t="shared" si="6"/>
        <v>0</v>
      </c>
      <c r="Y35" s="37">
        <f>Y36+Y37+Y38</f>
        <v>0</v>
      </c>
      <c r="Z35" s="38">
        <f t="shared" si="6"/>
        <v>0</v>
      </c>
    </row>
    <row r="36" ht="15.75" customHeight="1" spans="1:26" x14ac:dyDescent="0.25">
      <c r="A36" s="43">
        <v>4.1</v>
      </c>
      <c r="B36" s="40" t="s">
        <v>24</v>
      </c>
      <c r="C36" s="41">
        <v>540000</v>
      </c>
      <c r="D36" s="41">
        <v>8</v>
      </c>
      <c r="E36" s="41">
        <v>16</v>
      </c>
      <c r="F36" s="41">
        <v>555000</v>
      </c>
      <c r="G36" s="41">
        <v>8</v>
      </c>
      <c r="H36" s="41">
        <v>16</v>
      </c>
      <c r="I36" s="41">
        <v>570000</v>
      </c>
      <c r="J36" s="41">
        <v>8</v>
      </c>
      <c r="K36" s="41">
        <v>16</v>
      </c>
      <c r="L36" s="41">
        <v>585000</v>
      </c>
      <c r="M36" s="41">
        <v>8</v>
      </c>
      <c r="N36" s="41">
        <v>16</v>
      </c>
      <c r="O36" s="41">
        <v>600000</v>
      </c>
      <c r="P36" s="41">
        <v>8</v>
      </c>
      <c r="Q36" s="41">
        <v>16</v>
      </c>
      <c r="R36" s="41">
        <v>615000</v>
      </c>
      <c r="S36" s="41">
        <v>8</v>
      </c>
      <c r="T36" s="41">
        <v>16</v>
      </c>
      <c r="U36" s="41">
        <v>630000</v>
      </c>
      <c r="V36" s="41">
        <v>8</v>
      </c>
      <c r="W36" s="41">
        <v>16</v>
      </c>
      <c r="X36" s="37">
        <f t="shared" ref="X36:Z40" si="7">C36+F36+I36+L36+O36+R36+U36</f>
        <v>0</v>
      </c>
      <c r="Y36" s="37">
        <f t="shared" si="7"/>
        <v>0</v>
      </c>
      <c r="Z36" s="38">
        <f t="shared" si="7"/>
        <v>0</v>
      </c>
    </row>
    <row r="37" ht="15.75" customHeight="1" spans="1:26" x14ac:dyDescent="0.25">
      <c r="A37" s="43">
        <v>4.2</v>
      </c>
      <c r="B37" s="40" t="s">
        <v>25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37">
        <f t="shared" si="7"/>
        <v>0</v>
      </c>
      <c r="Y37" s="37">
        <f t="shared" si="7"/>
        <v>0</v>
      </c>
      <c r="Z37" s="38">
        <f t="shared" si="7"/>
        <v>0</v>
      </c>
    </row>
    <row r="38" ht="15.75" customHeight="1" spans="1:26" x14ac:dyDescent="0.25">
      <c r="A38" s="43">
        <v>4.3</v>
      </c>
      <c r="B38" s="40" t="s">
        <v>26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37">
        <f t="shared" si="7"/>
        <v>0</v>
      </c>
      <c r="Y38" s="37">
        <f t="shared" si="7"/>
        <v>0</v>
      </c>
      <c r="Z38" s="38">
        <f t="shared" si="7"/>
        <v>0</v>
      </c>
    </row>
    <row r="39" ht="15.75" customHeight="1" spans="1:26" x14ac:dyDescent="0.25">
      <c r="A39" s="43"/>
      <c r="B39" s="40" t="s">
        <v>27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37">
        <f t="shared" si="7"/>
        <v>0</v>
      </c>
      <c r="Y39" s="37">
        <f t="shared" si="7"/>
        <v>0</v>
      </c>
      <c r="Z39" s="38">
        <f t="shared" si="7"/>
        <v>0</v>
      </c>
    </row>
    <row r="40" ht="15.75" customHeight="1" spans="1:26" x14ac:dyDescent="0.25">
      <c r="A40" s="43"/>
      <c r="B40" s="40" t="s">
        <v>28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37">
        <f t="shared" si="7"/>
        <v>0</v>
      </c>
      <c r="Y40" s="37">
        <f t="shared" si="7"/>
        <v>0</v>
      </c>
      <c r="Z40" s="38">
        <f t="shared" si="7"/>
        <v>0</v>
      </c>
    </row>
    <row r="41" ht="15.75" customHeight="1" spans="1:26" x14ac:dyDescent="0.25">
      <c r="A41" s="44">
        <v>5</v>
      </c>
      <c r="B41" s="35" t="s">
        <v>33</v>
      </c>
      <c r="C41" s="36">
        <f>C42+C43+C44</f>
        <v>0</v>
      </c>
      <c r="D41" s="36">
        <f>D42+D43+D44</f>
        <v>0</v>
      </c>
      <c r="E41" s="36">
        <f t="shared" ref="E41:Z41" si="8">E42+E43+E44</f>
        <v>0</v>
      </c>
      <c r="F41" s="36">
        <f t="shared" si="8"/>
        <v>0</v>
      </c>
      <c r="G41" s="36">
        <f>G42+G43+G44</f>
        <v>0</v>
      </c>
      <c r="H41" s="36">
        <f t="shared" si="8"/>
        <v>0</v>
      </c>
      <c r="I41" s="36">
        <f t="shared" si="8"/>
        <v>0</v>
      </c>
      <c r="J41" s="36">
        <f>J42+J43+J44</f>
        <v>0</v>
      </c>
      <c r="K41" s="36">
        <f t="shared" si="8"/>
        <v>0</v>
      </c>
      <c r="L41" s="36">
        <f t="shared" si="8"/>
        <v>0</v>
      </c>
      <c r="M41" s="36">
        <f>M42+M43+M44</f>
        <v>0</v>
      </c>
      <c r="N41" s="36">
        <f t="shared" si="8"/>
        <v>0</v>
      </c>
      <c r="O41" s="36">
        <f t="shared" si="8"/>
        <v>0</v>
      </c>
      <c r="P41" s="36">
        <f>P42+P43+P44</f>
        <v>0</v>
      </c>
      <c r="Q41" s="36">
        <f t="shared" si="8"/>
        <v>0</v>
      </c>
      <c r="R41" s="36">
        <f t="shared" si="8"/>
        <v>0</v>
      </c>
      <c r="S41" s="36">
        <f>S42+S43+S44</f>
        <v>0</v>
      </c>
      <c r="T41" s="36">
        <f t="shared" si="8"/>
        <v>0</v>
      </c>
      <c r="U41" s="36">
        <f t="shared" si="8"/>
        <v>0</v>
      </c>
      <c r="V41" s="36">
        <f>V42+V43+V44</f>
        <v>0</v>
      </c>
      <c r="W41" s="36">
        <f t="shared" si="8"/>
        <v>0</v>
      </c>
      <c r="X41" s="37">
        <f t="shared" si="8"/>
        <v>0</v>
      </c>
      <c r="Y41" s="37">
        <f>Y42+Y43+Y44</f>
        <v>0</v>
      </c>
      <c r="Z41" s="38">
        <f t="shared" si="8"/>
        <v>0</v>
      </c>
    </row>
    <row r="42" ht="15.75" customHeight="1" spans="1:26" x14ac:dyDescent="0.25">
      <c r="A42" s="43">
        <v>5.1</v>
      </c>
      <c r="B42" s="40" t="s">
        <v>24</v>
      </c>
      <c r="C42" s="41">
        <v>550000</v>
      </c>
      <c r="D42" s="41">
        <v>9</v>
      </c>
      <c r="E42" s="41">
        <v>18</v>
      </c>
      <c r="F42" s="41">
        <v>565000</v>
      </c>
      <c r="G42" s="41">
        <v>9</v>
      </c>
      <c r="H42" s="41">
        <v>18</v>
      </c>
      <c r="I42" s="41">
        <v>580000</v>
      </c>
      <c r="J42" s="41">
        <v>9</v>
      </c>
      <c r="K42" s="41">
        <v>18</v>
      </c>
      <c r="L42" s="41">
        <v>595000</v>
      </c>
      <c r="M42" s="41">
        <v>9</v>
      </c>
      <c r="N42" s="41">
        <v>18</v>
      </c>
      <c r="O42" s="41">
        <v>610000</v>
      </c>
      <c r="P42" s="41">
        <v>9</v>
      </c>
      <c r="Q42" s="41">
        <v>18</v>
      </c>
      <c r="R42" s="41">
        <v>625000</v>
      </c>
      <c r="S42" s="41">
        <v>9</v>
      </c>
      <c r="T42" s="41">
        <v>18</v>
      </c>
      <c r="U42" s="41">
        <v>640000</v>
      </c>
      <c r="V42" s="41">
        <v>9</v>
      </c>
      <c r="W42" s="41">
        <v>18</v>
      </c>
      <c r="X42" s="37">
        <f t="shared" ref="X42:Z46" si="9">C42+F42+I42+L42+O42+R42+U42</f>
        <v>0</v>
      </c>
      <c r="Y42" s="37">
        <f t="shared" si="9"/>
        <v>0</v>
      </c>
      <c r="Z42" s="38">
        <f t="shared" si="9"/>
        <v>0</v>
      </c>
    </row>
    <row r="43" ht="15.75" customHeight="1" spans="1:26" x14ac:dyDescent="0.25">
      <c r="A43" s="43">
        <v>5.2</v>
      </c>
      <c r="B43" s="40" t="s">
        <v>25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37">
        <f t="shared" si="9"/>
        <v>0</v>
      </c>
      <c r="Y43" s="37">
        <f t="shared" si="9"/>
        <v>0</v>
      </c>
      <c r="Z43" s="38">
        <f t="shared" si="9"/>
        <v>0</v>
      </c>
    </row>
    <row r="44" ht="15.75" customHeight="1" spans="1:26" x14ac:dyDescent="0.25">
      <c r="A44" s="43">
        <v>5.3</v>
      </c>
      <c r="B44" s="40" t="s">
        <v>26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37">
        <f t="shared" si="9"/>
        <v>0</v>
      </c>
      <c r="Y44" s="37">
        <f t="shared" si="9"/>
        <v>0</v>
      </c>
      <c r="Z44" s="38">
        <f t="shared" si="9"/>
        <v>0</v>
      </c>
    </row>
    <row r="45" ht="15.75" customHeight="1" spans="1:26" x14ac:dyDescent="0.25">
      <c r="A45" s="43"/>
      <c r="B45" s="40" t="s">
        <v>27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37">
        <f t="shared" si="9"/>
        <v>0</v>
      </c>
      <c r="Y45" s="37">
        <f t="shared" si="9"/>
        <v>0</v>
      </c>
      <c r="Z45" s="38">
        <f t="shared" si="9"/>
        <v>0</v>
      </c>
    </row>
    <row r="46" ht="15.75" customHeight="1" spans="1:26" x14ac:dyDescent="0.25">
      <c r="A46" s="43"/>
      <c r="B46" s="40" t="s">
        <v>28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37">
        <f t="shared" si="9"/>
        <v>0</v>
      </c>
      <c r="Y46" s="37">
        <f t="shared" si="9"/>
        <v>0</v>
      </c>
      <c r="Z46" s="38">
        <f t="shared" si="9"/>
        <v>0</v>
      </c>
    </row>
    <row r="47" ht="15.75" customHeight="1" spans="1:26" x14ac:dyDescent="0.25">
      <c r="A47" s="44">
        <v>6</v>
      </c>
      <c r="B47" s="35" t="s">
        <v>34</v>
      </c>
      <c r="C47" s="36">
        <f>C48+C49+C50</f>
        <v>0</v>
      </c>
      <c r="D47" s="36">
        <f>D48+D49+D50</f>
        <v>0</v>
      </c>
      <c r="E47" s="36">
        <f t="shared" ref="E47:Z47" si="10">E48+E49+E50</f>
        <v>0</v>
      </c>
      <c r="F47" s="36">
        <f t="shared" si="10"/>
        <v>0</v>
      </c>
      <c r="G47" s="36">
        <f>G48+G49+G50</f>
        <v>0</v>
      </c>
      <c r="H47" s="36">
        <f t="shared" si="10"/>
        <v>0</v>
      </c>
      <c r="I47" s="36">
        <f t="shared" si="10"/>
        <v>0</v>
      </c>
      <c r="J47" s="36">
        <f>J48+J49+J50</f>
        <v>0</v>
      </c>
      <c r="K47" s="36">
        <f t="shared" si="10"/>
        <v>0</v>
      </c>
      <c r="L47" s="36">
        <f t="shared" si="10"/>
        <v>0</v>
      </c>
      <c r="M47" s="36">
        <f>M48+M49+M50</f>
        <v>0</v>
      </c>
      <c r="N47" s="36">
        <f t="shared" si="10"/>
        <v>0</v>
      </c>
      <c r="O47" s="36">
        <f t="shared" si="10"/>
        <v>0</v>
      </c>
      <c r="P47" s="36">
        <f>P48+P49+P50</f>
        <v>0</v>
      </c>
      <c r="Q47" s="36">
        <f t="shared" si="10"/>
        <v>0</v>
      </c>
      <c r="R47" s="36">
        <f t="shared" si="10"/>
        <v>0</v>
      </c>
      <c r="S47" s="36">
        <f>S48+S49+S50</f>
        <v>0</v>
      </c>
      <c r="T47" s="36">
        <f t="shared" si="10"/>
        <v>0</v>
      </c>
      <c r="U47" s="36">
        <f t="shared" si="10"/>
        <v>0</v>
      </c>
      <c r="V47" s="36">
        <f>V48+V49+V50</f>
        <v>0</v>
      </c>
      <c r="W47" s="36">
        <f t="shared" si="10"/>
        <v>0</v>
      </c>
      <c r="X47" s="37">
        <f t="shared" si="10"/>
        <v>0</v>
      </c>
      <c r="Y47" s="37">
        <f>Y48+Y49+Y50</f>
        <v>0</v>
      </c>
      <c r="Z47" s="38">
        <f t="shared" si="10"/>
        <v>0</v>
      </c>
    </row>
    <row r="48" ht="15.75" customHeight="1" spans="1:26" x14ac:dyDescent="0.25">
      <c r="A48" s="43">
        <v>6.1</v>
      </c>
      <c r="B48" s="40" t="s">
        <v>24</v>
      </c>
      <c r="C48" s="41">
        <v>560000</v>
      </c>
      <c r="D48" s="41">
        <v>10</v>
      </c>
      <c r="E48" s="41">
        <v>20</v>
      </c>
      <c r="F48" s="41">
        <v>575000</v>
      </c>
      <c r="G48" s="41">
        <v>10</v>
      </c>
      <c r="H48" s="41">
        <v>20</v>
      </c>
      <c r="I48" s="41">
        <v>590000</v>
      </c>
      <c r="J48" s="41">
        <v>10</v>
      </c>
      <c r="K48" s="41">
        <v>20</v>
      </c>
      <c r="L48" s="41">
        <v>605000</v>
      </c>
      <c r="M48" s="41">
        <v>10</v>
      </c>
      <c r="N48" s="41">
        <v>20</v>
      </c>
      <c r="O48" s="41">
        <v>620000</v>
      </c>
      <c r="P48" s="41">
        <v>10</v>
      </c>
      <c r="Q48" s="41">
        <v>20</v>
      </c>
      <c r="R48" s="41">
        <v>635000</v>
      </c>
      <c r="S48" s="41">
        <v>10</v>
      </c>
      <c r="T48" s="41">
        <v>20</v>
      </c>
      <c r="U48" s="41">
        <v>650000</v>
      </c>
      <c r="V48" s="41">
        <v>10</v>
      </c>
      <c r="W48" s="41">
        <v>20</v>
      </c>
      <c r="X48" s="37">
        <f t="shared" ref="X48:Z52" si="11">C48+F48+I48+L48+O48+R48+U48</f>
        <v>0</v>
      </c>
      <c r="Y48" s="37">
        <f t="shared" si="11"/>
        <v>0</v>
      </c>
      <c r="Z48" s="38">
        <f t="shared" si="11"/>
        <v>0</v>
      </c>
    </row>
    <row r="49" ht="15.75" customHeight="1" spans="1:26" x14ac:dyDescent="0.25">
      <c r="A49" s="43">
        <v>6.2</v>
      </c>
      <c r="B49" s="40" t="s">
        <v>25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37">
        <f t="shared" si="11"/>
        <v>0</v>
      </c>
      <c r="Y49" s="37">
        <f t="shared" si="11"/>
        <v>0</v>
      </c>
      <c r="Z49" s="38">
        <f t="shared" si="11"/>
        <v>0</v>
      </c>
    </row>
    <row r="50" ht="15.75" customHeight="1" spans="1:26" x14ac:dyDescent="0.25">
      <c r="A50" s="43">
        <v>6.3</v>
      </c>
      <c r="B50" s="40" t="s">
        <v>26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37">
        <f t="shared" si="11"/>
        <v>0</v>
      </c>
      <c r="Y50" s="37">
        <f t="shared" si="11"/>
        <v>0</v>
      </c>
      <c r="Z50" s="38">
        <f t="shared" si="11"/>
        <v>0</v>
      </c>
    </row>
    <row r="51" ht="15.75" customHeight="1" spans="1:26" x14ac:dyDescent="0.25">
      <c r="A51" s="43"/>
      <c r="B51" s="40" t="s">
        <v>27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37">
        <f t="shared" si="11"/>
        <v>0</v>
      </c>
      <c r="Y51" s="37">
        <f t="shared" si="11"/>
        <v>0</v>
      </c>
      <c r="Z51" s="38">
        <f t="shared" si="11"/>
        <v>0</v>
      </c>
    </row>
    <row r="52" ht="15.75" customHeight="1" spans="1:26" x14ac:dyDescent="0.25">
      <c r="A52" s="43"/>
      <c r="B52" s="40" t="s">
        <v>28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37">
        <f t="shared" si="11"/>
        <v>0</v>
      </c>
      <c r="Y52" s="37">
        <f t="shared" si="11"/>
        <v>0</v>
      </c>
      <c r="Z52" s="38">
        <f t="shared" si="11"/>
        <v>0</v>
      </c>
    </row>
    <row r="53" ht="15.75" customHeight="1" spans="1:26" x14ac:dyDescent="0.25">
      <c r="A53" s="44">
        <v>7</v>
      </c>
      <c r="B53" s="35" t="s">
        <v>35</v>
      </c>
      <c r="C53" s="36">
        <f>C54+C55+C56</f>
        <v>0</v>
      </c>
      <c r="D53" s="36">
        <f>D54+D55+D56</f>
        <v>0</v>
      </c>
      <c r="E53" s="36">
        <f t="shared" ref="E53:Z53" si="12">E54+E55+E56</f>
        <v>0</v>
      </c>
      <c r="F53" s="36">
        <f t="shared" si="12"/>
        <v>0</v>
      </c>
      <c r="G53" s="36">
        <f>G54+G55+G56</f>
        <v>0</v>
      </c>
      <c r="H53" s="36">
        <f t="shared" si="12"/>
        <v>0</v>
      </c>
      <c r="I53" s="36">
        <f t="shared" si="12"/>
        <v>0</v>
      </c>
      <c r="J53" s="36">
        <f>J54+J55+J56</f>
        <v>0</v>
      </c>
      <c r="K53" s="36">
        <f t="shared" si="12"/>
        <v>0</v>
      </c>
      <c r="L53" s="36">
        <f t="shared" si="12"/>
        <v>0</v>
      </c>
      <c r="M53" s="36">
        <f>M54+M55+M56</f>
        <v>0</v>
      </c>
      <c r="N53" s="36">
        <f t="shared" si="12"/>
        <v>0</v>
      </c>
      <c r="O53" s="36">
        <f t="shared" si="12"/>
        <v>0</v>
      </c>
      <c r="P53" s="36">
        <f>P54+P55+P56</f>
        <v>0</v>
      </c>
      <c r="Q53" s="36">
        <f t="shared" si="12"/>
        <v>0</v>
      </c>
      <c r="R53" s="36">
        <f t="shared" si="12"/>
        <v>0</v>
      </c>
      <c r="S53" s="36">
        <f>S54+S55+S56</f>
        <v>0</v>
      </c>
      <c r="T53" s="36">
        <f t="shared" si="12"/>
        <v>0</v>
      </c>
      <c r="U53" s="36">
        <f t="shared" si="12"/>
        <v>0</v>
      </c>
      <c r="V53" s="36">
        <f>V54+V55+V56</f>
        <v>0</v>
      </c>
      <c r="W53" s="36">
        <f t="shared" si="12"/>
        <v>0</v>
      </c>
      <c r="X53" s="37">
        <f t="shared" si="12"/>
        <v>0</v>
      </c>
      <c r="Y53" s="37">
        <f>Y54+Y55+Y56</f>
        <v>0</v>
      </c>
      <c r="Z53" s="38">
        <f t="shared" si="12"/>
        <v>0</v>
      </c>
    </row>
    <row r="54" ht="15.75" customHeight="1" spans="1:26" x14ac:dyDescent="0.25">
      <c r="A54" s="43">
        <v>7.1</v>
      </c>
      <c r="B54" s="40" t="s">
        <v>24</v>
      </c>
      <c r="C54" s="41">
        <v>570000</v>
      </c>
      <c r="D54" s="41">
        <v>11</v>
      </c>
      <c r="E54" s="41">
        <v>22</v>
      </c>
      <c r="F54" s="41">
        <v>585000</v>
      </c>
      <c r="G54" s="41">
        <v>11</v>
      </c>
      <c r="H54" s="41">
        <v>22</v>
      </c>
      <c r="I54" s="41">
        <v>600000</v>
      </c>
      <c r="J54" s="41">
        <v>11</v>
      </c>
      <c r="K54" s="41">
        <v>22</v>
      </c>
      <c r="L54" s="41">
        <v>615000</v>
      </c>
      <c r="M54" s="41">
        <v>11</v>
      </c>
      <c r="N54" s="41">
        <v>22</v>
      </c>
      <c r="O54" s="41">
        <v>630000</v>
      </c>
      <c r="P54" s="41">
        <v>11</v>
      </c>
      <c r="Q54" s="41">
        <v>22</v>
      </c>
      <c r="R54" s="41">
        <v>645000</v>
      </c>
      <c r="S54" s="41">
        <v>11</v>
      </c>
      <c r="T54" s="41">
        <v>22</v>
      </c>
      <c r="U54" s="41">
        <v>660000</v>
      </c>
      <c r="V54" s="41">
        <v>11</v>
      </c>
      <c r="W54" s="41">
        <v>22</v>
      </c>
      <c r="X54" s="37">
        <f t="shared" ref="X54:Z58" si="13">C54+F54+I54+L54+O54+R54+U54</f>
        <v>0</v>
      </c>
      <c r="Y54" s="37">
        <f t="shared" si="13"/>
        <v>0</v>
      </c>
      <c r="Z54" s="38">
        <f t="shared" si="13"/>
        <v>0</v>
      </c>
    </row>
    <row r="55" ht="15.75" customHeight="1" spans="1:26" x14ac:dyDescent="0.25">
      <c r="A55" s="43">
        <v>7.2</v>
      </c>
      <c r="B55" s="40" t="s">
        <v>25</v>
      </c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37">
        <f t="shared" si="13"/>
        <v>0</v>
      </c>
      <c r="Y55" s="37">
        <f t="shared" si="13"/>
        <v>0</v>
      </c>
      <c r="Z55" s="38">
        <f t="shared" si="13"/>
        <v>0</v>
      </c>
    </row>
    <row r="56" ht="15.75" customHeight="1" spans="1:26" x14ac:dyDescent="0.25">
      <c r="A56" s="43">
        <v>7.3</v>
      </c>
      <c r="B56" s="40" t="s">
        <v>26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37">
        <f t="shared" si="13"/>
        <v>0</v>
      </c>
      <c r="Y56" s="37">
        <f t="shared" si="13"/>
        <v>0</v>
      </c>
      <c r="Z56" s="38">
        <f t="shared" si="13"/>
        <v>0</v>
      </c>
    </row>
    <row r="57" ht="15.75" customHeight="1" spans="1:26" x14ac:dyDescent="0.25">
      <c r="A57" s="43"/>
      <c r="B57" s="40" t="s">
        <v>27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37">
        <f t="shared" si="13"/>
        <v>0</v>
      </c>
      <c r="Y57" s="37">
        <f t="shared" si="13"/>
        <v>0</v>
      </c>
      <c r="Z57" s="38">
        <f t="shared" si="13"/>
        <v>0</v>
      </c>
    </row>
    <row r="58" ht="15.75" customHeight="1" spans="1:26" x14ac:dyDescent="0.25">
      <c r="A58" s="43"/>
      <c r="B58" s="40" t="s">
        <v>28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37">
        <f t="shared" si="13"/>
        <v>0</v>
      </c>
      <c r="Y58" s="37">
        <f t="shared" si="13"/>
        <v>0</v>
      </c>
      <c r="Z58" s="38">
        <f t="shared" si="13"/>
        <v>0</v>
      </c>
    </row>
    <row r="59" ht="15.75" customHeight="1" spans="1:26" x14ac:dyDescent="0.25">
      <c r="A59" s="44">
        <v>8</v>
      </c>
      <c r="B59" s="35" t="s">
        <v>36</v>
      </c>
      <c r="C59" s="36">
        <f>C60+C61+C62</f>
        <v>0</v>
      </c>
      <c r="D59" s="36">
        <f>D60+D61+D62</f>
        <v>0</v>
      </c>
      <c r="E59" s="36">
        <f t="shared" ref="E59:Z59" si="14">E60+E61+E62</f>
        <v>0</v>
      </c>
      <c r="F59" s="36">
        <f t="shared" si="14"/>
        <v>0</v>
      </c>
      <c r="G59" s="36">
        <f>G60+G61+G62</f>
        <v>0</v>
      </c>
      <c r="H59" s="36">
        <f t="shared" si="14"/>
        <v>0</v>
      </c>
      <c r="I59" s="36">
        <f t="shared" si="14"/>
        <v>0</v>
      </c>
      <c r="J59" s="36">
        <f>J60+J61+J62</f>
        <v>0</v>
      </c>
      <c r="K59" s="36">
        <f t="shared" si="14"/>
        <v>0</v>
      </c>
      <c r="L59" s="36">
        <f t="shared" si="14"/>
        <v>0</v>
      </c>
      <c r="M59" s="36">
        <f>M60+M61+M62</f>
        <v>0</v>
      </c>
      <c r="N59" s="36">
        <f t="shared" si="14"/>
        <v>0</v>
      </c>
      <c r="O59" s="36">
        <f t="shared" si="14"/>
        <v>0</v>
      </c>
      <c r="P59" s="36">
        <f>P60+P61+P62</f>
        <v>0</v>
      </c>
      <c r="Q59" s="36">
        <f t="shared" si="14"/>
        <v>0</v>
      </c>
      <c r="R59" s="36">
        <f t="shared" si="14"/>
        <v>0</v>
      </c>
      <c r="S59" s="36">
        <f>S60+S61+S62</f>
        <v>0</v>
      </c>
      <c r="T59" s="36">
        <f t="shared" si="14"/>
        <v>0</v>
      </c>
      <c r="U59" s="36">
        <f t="shared" si="14"/>
        <v>0</v>
      </c>
      <c r="V59" s="36">
        <f>V60+V61+V62</f>
        <v>0</v>
      </c>
      <c r="W59" s="36">
        <f t="shared" si="14"/>
        <v>0</v>
      </c>
      <c r="X59" s="37">
        <f t="shared" si="14"/>
        <v>0</v>
      </c>
      <c r="Y59" s="37">
        <f>Y60+Y61+Y62</f>
        <v>0</v>
      </c>
      <c r="Z59" s="38">
        <f t="shared" si="14"/>
        <v>0</v>
      </c>
    </row>
    <row r="60" ht="15.75" customHeight="1" spans="1:26" x14ac:dyDescent="0.25">
      <c r="A60" s="43">
        <v>8.1</v>
      </c>
      <c r="B60" s="40" t="s">
        <v>24</v>
      </c>
      <c r="C60" s="41">
        <v>580000</v>
      </c>
      <c r="D60" s="41">
        <v>12</v>
      </c>
      <c r="E60" s="41">
        <v>24</v>
      </c>
      <c r="F60" s="41">
        <v>595000</v>
      </c>
      <c r="G60" s="41">
        <v>12</v>
      </c>
      <c r="H60" s="41">
        <v>24</v>
      </c>
      <c r="I60" s="41">
        <v>610000</v>
      </c>
      <c r="J60" s="41">
        <v>12</v>
      </c>
      <c r="K60" s="41">
        <v>24</v>
      </c>
      <c r="L60" s="41">
        <v>625000</v>
      </c>
      <c r="M60" s="41">
        <v>12</v>
      </c>
      <c r="N60" s="41">
        <v>24</v>
      </c>
      <c r="O60" s="41">
        <v>640000</v>
      </c>
      <c r="P60" s="41">
        <v>12</v>
      </c>
      <c r="Q60" s="41">
        <v>24</v>
      </c>
      <c r="R60" s="41">
        <v>655000</v>
      </c>
      <c r="S60" s="41">
        <v>12</v>
      </c>
      <c r="T60" s="41">
        <v>24</v>
      </c>
      <c r="U60" s="41">
        <v>670000</v>
      </c>
      <c r="V60" s="41">
        <v>12</v>
      </c>
      <c r="W60" s="41">
        <v>24</v>
      </c>
      <c r="X60" s="37">
        <f t="shared" ref="X60:Z64" si="15">C60+F60+I60+L60+O60+R60+U60</f>
        <v>0</v>
      </c>
      <c r="Y60" s="37">
        <f t="shared" si="15"/>
        <v>0</v>
      </c>
      <c r="Z60" s="38">
        <f t="shared" si="15"/>
        <v>0</v>
      </c>
    </row>
    <row r="61" ht="15.75" customHeight="1" spans="1:26" x14ac:dyDescent="0.25">
      <c r="A61" s="43">
        <v>8.2</v>
      </c>
      <c r="B61" s="40" t="s">
        <v>25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37">
        <f t="shared" si="15"/>
        <v>0</v>
      </c>
      <c r="Y61" s="37">
        <f t="shared" si="15"/>
        <v>0</v>
      </c>
      <c r="Z61" s="38">
        <f t="shared" si="15"/>
        <v>0</v>
      </c>
    </row>
    <row r="62" ht="15.75" customHeight="1" spans="1:26" x14ac:dyDescent="0.25">
      <c r="A62" s="43">
        <v>8.3</v>
      </c>
      <c r="B62" s="40" t="s">
        <v>26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37">
        <f t="shared" si="15"/>
        <v>0</v>
      </c>
      <c r="Y62" s="37">
        <f t="shared" si="15"/>
        <v>0</v>
      </c>
      <c r="Z62" s="38">
        <f t="shared" si="15"/>
        <v>0</v>
      </c>
    </row>
    <row r="63" ht="15.75" customHeight="1" spans="1:26" x14ac:dyDescent="0.25">
      <c r="A63" s="43"/>
      <c r="B63" s="40" t="s">
        <v>27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37">
        <f t="shared" si="15"/>
        <v>0</v>
      </c>
      <c r="Y63" s="37">
        <f t="shared" si="15"/>
        <v>0</v>
      </c>
      <c r="Z63" s="38">
        <f t="shared" si="15"/>
        <v>0</v>
      </c>
    </row>
    <row r="64" ht="15.75" customHeight="1" spans="1:26" x14ac:dyDescent="0.25">
      <c r="A64" s="43"/>
      <c r="B64" s="40" t="s">
        <v>28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37">
        <f t="shared" si="15"/>
        <v>0</v>
      </c>
      <c r="Y64" s="37">
        <f t="shared" si="15"/>
        <v>0</v>
      </c>
      <c r="Z64" s="38">
        <f t="shared" si="15"/>
        <v>0</v>
      </c>
    </row>
    <row r="65" ht="15.75" customHeight="1" spans="1:26" x14ac:dyDescent="0.25">
      <c r="A65" s="44">
        <v>9</v>
      </c>
      <c r="B65" s="35" t="s">
        <v>37</v>
      </c>
      <c r="C65" s="36">
        <f>C66+C67+C68</f>
        <v>0</v>
      </c>
      <c r="D65" s="36">
        <f>D66+D67+D68</f>
        <v>0</v>
      </c>
      <c r="E65" s="36">
        <f t="shared" ref="E65:Z65" si="16">E66+E67+E68</f>
        <v>0</v>
      </c>
      <c r="F65" s="36">
        <f t="shared" si="16"/>
        <v>0</v>
      </c>
      <c r="G65" s="36">
        <f>G66+G67+G68</f>
        <v>0</v>
      </c>
      <c r="H65" s="36">
        <f t="shared" si="16"/>
        <v>0</v>
      </c>
      <c r="I65" s="36">
        <f t="shared" si="16"/>
        <v>0</v>
      </c>
      <c r="J65" s="36">
        <f>J66+J67+J68</f>
        <v>0</v>
      </c>
      <c r="K65" s="36">
        <f t="shared" si="16"/>
        <v>0</v>
      </c>
      <c r="L65" s="36">
        <f t="shared" si="16"/>
        <v>0</v>
      </c>
      <c r="M65" s="36">
        <f>M66+M67+M68</f>
        <v>0</v>
      </c>
      <c r="N65" s="36">
        <f t="shared" si="16"/>
        <v>0</v>
      </c>
      <c r="O65" s="36">
        <f t="shared" si="16"/>
        <v>0</v>
      </c>
      <c r="P65" s="36">
        <f>P66+P67+P68</f>
        <v>0</v>
      </c>
      <c r="Q65" s="36">
        <f t="shared" si="16"/>
        <v>0</v>
      </c>
      <c r="R65" s="36">
        <f t="shared" si="16"/>
        <v>0</v>
      </c>
      <c r="S65" s="36">
        <f>S66+S67+S68</f>
        <v>0</v>
      </c>
      <c r="T65" s="36">
        <f t="shared" si="16"/>
        <v>0</v>
      </c>
      <c r="U65" s="36">
        <f t="shared" si="16"/>
        <v>0</v>
      </c>
      <c r="V65" s="36">
        <f>V66+V67+V68</f>
        <v>0</v>
      </c>
      <c r="W65" s="36">
        <f t="shared" si="16"/>
        <v>0</v>
      </c>
      <c r="X65" s="37">
        <f t="shared" si="16"/>
        <v>0</v>
      </c>
      <c r="Y65" s="37">
        <f>Y66+Y67+Y68</f>
        <v>0</v>
      </c>
      <c r="Z65" s="38">
        <f t="shared" si="16"/>
        <v>0</v>
      </c>
    </row>
    <row r="66" ht="15.75" customHeight="1" spans="1:26" x14ac:dyDescent="0.25">
      <c r="A66" s="43">
        <v>9.1</v>
      </c>
      <c r="B66" s="40" t="s">
        <v>24</v>
      </c>
      <c r="C66" s="41">
        <v>590000</v>
      </c>
      <c r="D66" s="41">
        <v>13</v>
      </c>
      <c r="E66" s="41">
        <v>26</v>
      </c>
      <c r="F66" s="41">
        <v>605000</v>
      </c>
      <c r="G66" s="41">
        <v>13</v>
      </c>
      <c r="H66" s="41">
        <v>26</v>
      </c>
      <c r="I66" s="41">
        <v>620000</v>
      </c>
      <c r="J66" s="41">
        <v>13</v>
      </c>
      <c r="K66" s="41">
        <v>26</v>
      </c>
      <c r="L66" s="41">
        <v>635000</v>
      </c>
      <c r="M66" s="41">
        <v>13</v>
      </c>
      <c r="N66" s="41">
        <v>26</v>
      </c>
      <c r="O66" s="41">
        <v>650000</v>
      </c>
      <c r="P66" s="41">
        <v>13</v>
      </c>
      <c r="Q66" s="41">
        <v>26</v>
      </c>
      <c r="R66" s="41">
        <v>665000</v>
      </c>
      <c r="S66" s="41">
        <v>13</v>
      </c>
      <c r="T66" s="41">
        <v>26</v>
      </c>
      <c r="U66" s="41">
        <v>680000</v>
      </c>
      <c r="V66" s="41">
        <v>13</v>
      </c>
      <c r="W66" s="41">
        <v>26</v>
      </c>
      <c r="X66" s="37">
        <f t="shared" ref="X66:Z70" si="17">C66+F66+I66+L66+O66+R66+U66</f>
        <v>0</v>
      </c>
      <c r="Y66" s="37">
        <f t="shared" si="17"/>
        <v>0</v>
      </c>
      <c r="Z66" s="38">
        <f t="shared" si="17"/>
        <v>0</v>
      </c>
    </row>
    <row r="67" ht="15.75" customHeight="1" spans="1:26" x14ac:dyDescent="0.25">
      <c r="A67" s="43">
        <v>9.2</v>
      </c>
      <c r="B67" s="40" t="s">
        <v>25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37">
        <f t="shared" si="17"/>
        <v>0</v>
      </c>
      <c r="Y67" s="37">
        <f t="shared" si="17"/>
        <v>0</v>
      </c>
      <c r="Z67" s="38">
        <f t="shared" si="17"/>
        <v>0</v>
      </c>
    </row>
    <row r="68" ht="15.75" customHeight="1" spans="1:26" x14ac:dyDescent="0.25">
      <c r="A68" s="43">
        <v>9.3</v>
      </c>
      <c r="B68" s="40" t="s">
        <v>26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37">
        <f t="shared" si="17"/>
        <v>0</v>
      </c>
      <c r="Y68" s="37">
        <f t="shared" si="17"/>
        <v>0</v>
      </c>
      <c r="Z68" s="38">
        <f t="shared" si="17"/>
        <v>0</v>
      </c>
    </row>
    <row r="69" ht="15.75" customHeight="1" spans="1:26" x14ac:dyDescent="0.25">
      <c r="A69" s="43"/>
      <c r="B69" s="40" t="s">
        <v>27</v>
      </c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37">
        <f t="shared" si="17"/>
        <v>0</v>
      </c>
      <c r="Y69" s="37">
        <f t="shared" si="17"/>
        <v>0</v>
      </c>
      <c r="Z69" s="38">
        <f t="shared" si="17"/>
        <v>0</v>
      </c>
    </row>
    <row r="70" ht="15.75" customHeight="1" spans="1:26" x14ac:dyDescent="0.25">
      <c r="A70" s="43"/>
      <c r="B70" s="40" t="s">
        <v>28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37">
        <f t="shared" si="17"/>
        <v>0</v>
      </c>
      <c r="Y70" s="37">
        <f t="shared" si="17"/>
        <v>0</v>
      </c>
      <c r="Z70" s="38">
        <f t="shared" si="17"/>
        <v>0</v>
      </c>
    </row>
    <row r="71" ht="15.75" customHeight="1" spans="1:26" x14ac:dyDescent="0.25">
      <c r="A71" s="44">
        <v>10</v>
      </c>
      <c r="B71" s="35" t="s">
        <v>38</v>
      </c>
      <c r="C71" s="36">
        <f>C72+C73+C74</f>
        <v>0</v>
      </c>
      <c r="D71" s="36">
        <f>D72+D73+D74</f>
        <v>0</v>
      </c>
      <c r="E71" s="36">
        <f t="shared" ref="E71:Z71" si="18">E72+E73+E74</f>
        <v>0</v>
      </c>
      <c r="F71" s="36">
        <f t="shared" si="18"/>
        <v>0</v>
      </c>
      <c r="G71" s="36">
        <f>G72+G73+G74</f>
        <v>0</v>
      </c>
      <c r="H71" s="36">
        <f t="shared" si="18"/>
        <v>0</v>
      </c>
      <c r="I71" s="36">
        <f t="shared" si="18"/>
        <v>0</v>
      </c>
      <c r="J71" s="36">
        <f>J72+J73+J74</f>
        <v>0</v>
      </c>
      <c r="K71" s="36">
        <f t="shared" si="18"/>
        <v>0</v>
      </c>
      <c r="L71" s="36">
        <f t="shared" si="18"/>
        <v>0</v>
      </c>
      <c r="M71" s="36">
        <f>M72+M73+M74</f>
        <v>0</v>
      </c>
      <c r="N71" s="36">
        <f t="shared" si="18"/>
        <v>0</v>
      </c>
      <c r="O71" s="36">
        <f t="shared" si="18"/>
        <v>0</v>
      </c>
      <c r="P71" s="36">
        <f>P72+P73+P74</f>
        <v>0</v>
      </c>
      <c r="Q71" s="36">
        <f t="shared" si="18"/>
        <v>0</v>
      </c>
      <c r="R71" s="36">
        <f t="shared" si="18"/>
        <v>0</v>
      </c>
      <c r="S71" s="36">
        <f>S72+S73+S74</f>
        <v>0</v>
      </c>
      <c r="T71" s="36">
        <f t="shared" si="18"/>
        <v>0</v>
      </c>
      <c r="U71" s="36">
        <f t="shared" si="18"/>
        <v>0</v>
      </c>
      <c r="V71" s="36">
        <f>V72+V73+V74</f>
        <v>0</v>
      </c>
      <c r="W71" s="36">
        <f t="shared" si="18"/>
        <v>0</v>
      </c>
      <c r="X71" s="37">
        <f t="shared" si="18"/>
        <v>0</v>
      </c>
      <c r="Y71" s="37">
        <f>Y72+Y73+Y74</f>
        <v>0</v>
      </c>
      <c r="Z71" s="38">
        <f t="shared" si="18"/>
        <v>0</v>
      </c>
    </row>
    <row r="72" ht="15.75" customHeight="1" spans="1:26" x14ac:dyDescent="0.25">
      <c r="A72" s="43">
        <v>10.1</v>
      </c>
      <c r="B72" s="40" t="s">
        <v>24</v>
      </c>
      <c r="C72" s="41">
        <v>600000</v>
      </c>
      <c r="D72" s="41">
        <v>14</v>
      </c>
      <c r="E72" s="41">
        <v>28</v>
      </c>
      <c r="F72" s="41">
        <v>615000</v>
      </c>
      <c r="G72" s="41">
        <v>14</v>
      </c>
      <c r="H72" s="41">
        <v>28</v>
      </c>
      <c r="I72" s="41">
        <v>630000</v>
      </c>
      <c r="J72" s="41">
        <v>14</v>
      </c>
      <c r="K72" s="41">
        <v>28</v>
      </c>
      <c r="L72" s="41">
        <v>645000</v>
      </c>
      <c r="M72" s="41">
        <v>14</v>
      </c>
      <c r="N72" s="41">
        <v>28</v>
      </c>
      <c r="O72" s="41">
        <v>660000</v>
      </c>
      <c r="P72" s="41">
        <v>14</v>
      </c>
      <c r="Q72" s="41">
        <v>28</v>
      </c>
      <c r="R72" s="41">
        <v>675000</v>
      </c>
      <c r="S72" s="41">
        <v>14</v>
      </c>
      <c r="T72" s="41">
        <v>28</v>
      </c>
      <c r="U72" s="41">
        <v>690000</v>
      </c>
      <c r="V72" s="41">
        <v>14</v>
      </c>
      <c r="W72" s="41">
        <v>28</v>
      </c>
      <c r="X72" s="37">
        <f t="shared" ref="X72:Z76" si="19">C72+F72+I72+L72+O72+R72+U72</f>
        <v>0</v>
      </c>
      <c r="Y72" s="37">
        <f t="shared" si="19"/>
        <v>0</v>
      </c>
      <c r="Z72" s="38">
        <f t="shared" si="19"/>
        <v>0</v>
      </c>
    </row>
    <row r="73" ht="15.75" customHeight="1" spans="1:26" x14ac:dyDescent="0.25">
      <c r="A73" s="43">
        <v>10.2</v>
      </c>
      <c r="B73" s="40" t="s">
        <v>25</v>
      </c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37">
        <f t="shared" si="19"/>
        <v>0</v>
      </c>
      <c r="Y73" s="37">
        <f t="shared" si="19"/>
        <v>0</v>
      </c>
      <c r="Z73" s="38">
        <f t="shared" si="19"/>
        <v>0</v>
      </c>
    </row>
    <row r="74" ht="15.75" customHeight="1" spans="1:26" x14ac:dyDescent="0.25">
      <c r="A74" s="43">
        <v>10.3</v>
      </c>
      <c r="B74" s="40" t="s">
        <v>26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37">
        <f t="shared" si="19"/>
        <v>0</v>
      </c>
      <c r="Y74" s="37">
        <f t="shared" si="19"/>
        <v>0</v>
      </c>
      <c r="Z74" s="38">
        <f t="shared" si="19"/>
        <v>0</v>
      </c>
    </row>
    <row r="75" ht="15.75" customHeight="1" spans="1:26" x14ac:dyDescent="0.25">
      <c r="A75" s="43"/>
      <c r="B75" s="40" t="s">
        <v>27</v>
      </c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37">
        <f t="shared" si="19"/>
        <v>0</v>
      </c>
      <c r="Y75" s="37">
        <f t="shared" si="19"/>
        <v>0</v>
      </c>
      <c r="Z75" s="38">
        <f t="shared" si="19"/>
        <v>0</v>
      </c>
    </row>
    <row r="76" ht="15.75" customHeight="1" spans="1:26" x14ac:dyDescent="0.25">
      <c r="A76" s="43"/>
      <c r="B76" s="40" t="s">
        <v>28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37">
        <f t="shared" si="19"/>
        <v>0</v>
      </c>
      <c r="Y76" s="37">
        <f t="shared" si="19"/>
        <v>0</v>
      </c>
      <c r="Z76" s="38">
        <f t="shared" si="19"/>
        <v>0</v>
      </c>
    </row>
    <row r="77" ht="15.75" customHeight="1" spans="1:26" x14ac:dyDescent="0.25">
      <c r="A77" s="44">
        <v>11</v>
      </c>
      <c r="B77" s="35" t="s">
        <v>39</v>
      </c>
      <c r="C77" s="36">
        <f>C78+C79+C80</f>
        <v>0</v>
      </c>
      <c r="D77" s="36">
        <f>D78+D79+D80</f>
        <v>0</v>
      </c>
      <c r="E77" s="36">
        <f t="shared" ref="E77:Z77" si="20">E78+E79+E80</f>
        <v>0</v>
      </c>
      <c r="F77" s="36">
        <f t="shared" si="20"/>
        <v>0</v>
      </c>
      <c r="G77" s="36">
        <f>G78+G79+G80</f>
        <v>0</v>
      </c>
      <c r="H77" s="36">
        <f t="shared" si="20"/>
        <v>0</v>
      </c>
      <c r="I77" s="36">
        <f t="shared" si="20"/>
        <v>0</v>
      </c>
      <c r="J77" s="36">
        <f>J78+J79+J80</f>
        <v>0</v>
      </c>
      <c r="K77" s="36">
        <f t="shared" si="20"/>
        <v>0</v>
      </c>
      <c r="L77" s="36">
        <f t="shared" si="20"/>
        <v>0</v>
      </c>
      <c r="M77" s="36">
        <f>M78+M79+M80</f>
        <v>0</v>
      </c>
      <c r="N77" s="36">
        <f t="shared" si="20"/>
        <v>0</v>
      </c>
      <c r="O77" s="36">
        <f t="shared" si="20"/>
        <v>0</v>
      </c>
      <c r="P77" s="36">
        <f>P78+P79+P80</f>
        <v>0</v>
      </c>
      <c r="Q77" s="36">
        <f t="shared" si="20"/>
        <v>0</v>
      </c>
      <c r="R77" s="36">
        <f t="shared" si="20"/>
        <v>0</v>
      </c>
      <c r="S77" s="36">
        <f>S78+S79+S80</f>
        <v>0</v>
      </c>
      <c r="T77" s="36">
        <f t="shared" si="20"/>
        <v>0</v>
      </c>
      <c r="U77" s="36">
        <f t="shared" si="20"/>
        <v>0</v>
      </c>
      <c r="V77" s="36">
        <f>V78+V79+V80</f>
        <v>0</v>
      </c>
      <c r="W77" s="36">
        <f t="shared" si="20"/>
        <v>0</v>
      </c>
      <c r="X77" s="37">
        <f t="shared" si="20"/>
        <v>0</v>
      </c>
      <c r="Y77" s="37">
        <f>Y78+Y79+Y80</f>
        <v>0</v>
      </c>
      <c r="Z77" s="38">
        <f t="shared" si="20"/>
        <v>0</v>
      </c>
    </row>
    <row r="78" ht="15.75" customHeight="1" spans="1:26" x14ac:dyDescent="0.25">
      <c r="A78" s="43">
        <v>11.1</v>
      </c>
      <c r="B78" s="40" t="s">
        <v>24</v>
      </c>
      <c r="C78" s="41">
        <v>610000</v>
      </c>
      <c r="D78" s="41">
        <v>15</v>
      </c>
      <c r="E78" s="41">
        <v>30</v>
      </c>
      <c r="F78" s="41">
        <v>625000</v>
      </c>
      <c r="G78" s="41">
        <v>15</v>
      </c>
      <c r="H78" s="41">
        <v>30</v>
      </c>
      <c r="I78" s="41">
        <v>640000</v>
      </c>
      <c r="J78" s="41">
        <v>15</v>
      </c>
      <c r="K78" s="41">
        <v>30</v>
      </c>
      <c r="L78" s="41">
        <v>655000</v>
      </c>
      <c r="M78" s="41">
        <v>15</v>
      </c>
      <c r="N78" s="41">
        <v>30</v>
      </c>
      <c r="O78" s="41">
        <v>670000</v>
      </c>
      <c r="P78" s="41">
        <v>15</v>
      </c>
      <c r="Q78" s="41">
        <v>30</v>
      </c>
      <c r="R78" s="41">
        <v>685000</v>
      </c>
      <c r="S78" s="41">
        <v>15</v>
      </c>
      <c r="T78" s="41">
        <v>30</v>
      </c>
      <c r="U78" s="41">
        <v>700000</v>
      </c>
      <c r="V78" s="41">
        <v>15</v>
      </c>
      <c r="W78" s="41">
        <v>30</v>
      </c>
      <c r="X78" s="37">
        <f t="shared" ref="X78:Z82" si="21">C78+F78+I78+L78+O78+R78+U78</f>
        <v>0</v>
      </c>
      <c r="Y78" s="37">
        <f t="shared" si="21"/>
        <v>0</v>
      </c>
      <c r="Z78" s="38">
        <f t="shared" si="21"/>
        <v>0</v>
      </c>
    </row>
    <row r="79" ht="15.75" customHeight="1" spans="1:26" x14ac:dyDescent="0.25">
      <c r="A79" s="43">
        <v>11.2</v>
      </c>
      <c r="B79" s="40" t="s">
        <v>25</v>
      </c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37">
        <f t="shared" si="21"/>
        <v>0</v>
      </c>
      <c r="Y79" s="37">
        <f t="shared" si="21"/>
        <v>0</v>
      </c>
      <c r="Z79" s="38">
        <f t="shared" si="21"/>
        <v>0</v>
      </c>
    </row>
    <row r="80" ht="15.75" customHeight="1" spans="1:26" x14ac:dyDescent="0.25">
      <c r="A80" s="43">
        <v>11.3</v>
      </c>
      <c r="B80" s="40" t="s">
        <v>26</v>
      </c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37">
        <f t="shared" si="21"/>
        <v>0</v>
      </c>
      <c r="Y80" s="37">
        <f t="shared" si="21"/>
        <v>0</v>
      </c>
      <c r="Z80" s="38">
        <f t="shared" si="21"/>
        <v>0</v>
      </c>
    </row>
    <row r="81" ht="15.75" customHeight="1" spans="1:26" x14ac:dyDescent="0.25">
      <c r="A81" s="43"/>
      <c r="B81" s="40" t="s">
        <v>27</v>
      </c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37">
        <f t="shared" si="21"/>
        <v>0</v>
      </c>
      <c r="Y81" s="37">
        <f t="shared" si="21"/>
        <v>0</v>
      </c>
      <c r="Z81" s="38">
        <f t="shared" si="21"/>
        <v>0</v>
      </c>
    </row>
    <row r="82" ht="15.75" customHeight="1" spans="1:26" x14ac:dyDescent="0.25">
      <c r="A82" s="43"/>
      <c r="B82" s="40" t="s">
        <v>28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37">
        <f t="shared" si="21"/>
        <v>0</v>
      </c>
      <c r="Y82" s="37">
        <f t="shared" si="21"/>
        <v>0</v>
      </c>
      <c r="Z82" s="38">
        <f t="shared" si="21"/>
        <v>0</v>
      </c>
    </row>
    <row r="83" ht="15.75" customHeight="1" spans="1:26" x14ac:dyDescent="0.25">
      <c r="A83" s="44">
        <v>12</v>
      </c>
      <c r="B83" s="35" t="s">
        <v>40</v>
      </c>
      <c r="C83" s="36">
        <f>C84+C85+C86</f>
        <v>0</v>
      </c>
      <c r="D83" s="36">
        <f>D84+D85+D86</f>
        <v>0</v>
      </c>
      <c r="E83" s="36">
        <f t="shared" ref="E83:Z83" si="22">E84+E85+E86</f>
        <v>0</v>
      </c>
      <c r="F83" s="36">
        <f t="shared" si="22"/>
        <v>0</v>
      </c>
      <c r="G83" s="36">
        <f>G84+G85+G86</f>
        <v>0</v>
      </c>
      <c r="H83" s="36">
        <f t="shared" si="22"/>
        <v>0</v>
      </c>
      <c r="I83" s="36">
        <f t="shared" si="22"/>
        <v>0</v>
      </c>
      <c r="J83" s="36">
        <f>J84+J85+J86</f>
        <v>0</v>
      </c>
      <c r="K83" s="36">
        <f t="shared" si="22"/>
        <v>0</v>
      </c>
      <c r="L83" s="36">
        <f t="shared" si="22"/>
        <v>0</v>
      </c>
      <c r="M83" s="36">
        <f>M84+M85+M86</f>
        <v>0</v>
      </c>
      <c r="N83" s="36">
        <f t="shared" si="22"/>
        <v>0</v>
      </c>
      <c r="O83" s="36">
        <f t="shared" si="22"/>
        <v>0</v>
      </c>
      <c r="P83" s="36">
        <f>P84+P85+P86</f>
        <v>0</v>
      </c>
      <c r="Q83" s="36">
        <f t="shared" si="22"/>
        <v>0</v>
      </c>
      <c r="R83" s="36">
        <f t="shared" si="22"/>
        <v>0</v>
      </c>
      <c r="S83" s="36">
        <f>S84+S85+S86</f>
        <v>0</v>
      </c>
      <c r="T83" s="36">
        <f t="shared" si="22"/>
        <v>0</v>
      </c>
      <c r="U83" s="36">
        <f t="shared" si="22"/>
        <v>0</v>
      </c>
      <c r="V83" s="36">
        <f>V84+V85+V86</f>
        <v>0</v>
      </c>
      <c r="W83" s="36">
        <f t="shared" si="22"/>
        <v>0</v>
      </c>
      <c r="X83" s="37">
        <f t="shared" si="22"/>
        <v>0</v>
      </c>
      <c r="Y83" s="37">
        <f>Y84+Y85+Y86</f>
        <v>0</v>
      </c>
      <c r="Z83" s="38">
        <f t="shared" si="22"/>
        <v>0</v>
      </c>
    </row>
    <row r="84" ht="15.75" customHeight="1" spans="1:26" x14ac:dyDescent="0.25">
      <c r="A84" s="43">
        <v>12.1</v>
      </c>
      <c r="B84" s="40" t="s">
        <v>24</v>
      </c>
      <c r="C84" s="41">
        <v>620000</v>
      </c>
      <c r="D84" s="41">
        <v>16</v>
      </c>
      <c r="E84" s="41">
        <v>32</v>
      </c>
      <c r="F84" s="41">
        <v>635000</v>
      </c>
      <c r="G84" s="41">
        <v>16</v>
      </c>
      <c r="H84" s="41">
        <v>32</v>
      </c>
      <c r="I84" s="41">
        <v>650000</v>
      </c>
      <c r="J84" s="41">
        <v>16</v>
      </c>
      <c r="K84" s="41">
        <v>32</v>
      </c>
      <c r="L84" s="41">
        <v>665000</v>
      </c>
      <c r="M84" s="41">
        <v>16</v>
      </c>
      <c r="N84" s="41">
        <v>32</v>
      </c>
      <c r="O84" s="41">
        <v>680000</v>
      </c>
      <c r="P84" s="41">
        <v>16</v>
      </c>
      <c r="Q84" s="41">
        <v>32</v>
      </c>
      <c r="R84" s="41">
        <v>695000</v>
      </c>
      <c r="S84" s="41">
        <v>16</v>
      </c>
      <c r="T84" s="41">
        <v>32</v>
      </c>
      <c r="U84" s="41">
        <v>710000</v>
      </c>
      <c r="V84" s="41">
        <v>16</v>
      </c>
      <c r="W84" s="41">
        <v>32</v>
      </c>
      <c r="X84" s="37">
        <f t="shared" ref="X84:Z88" si="23">C84+F84+I84+L84+O84+R84+U84</f>
        <v>0</v>
      </c>
      <c r="Y84" s="37">
        <f t="shared" si="23"/>
        <v>0</v>
      </c>
      <c r="Z84" s="38">
        <f t="shared" si="23"/>
        <v>0</v>
      </c>
    </row>
    <row r="85" ht="15.75" customHeight="1" spans="1:26" x14ac:dyDescent="0.25">
      <c r="A85" s="43">
        <v>12.2</v>
      </c>
      <c r="B85" s="40" t="s">
        <v>25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37">
        <f t="shared" si="23"/>
        <v>0</v>
      </c>
      <c r="Y85" s="37">
        <f t="shared" si="23"/>
        <v>0</v>
      </c>
      <c r="Z85" s="38">
        <f t="shared" si="23"/>
        <v>0</v>
      </c>
    </row>
    <row r="86" ht="15.75" customHeight="1" spans="1:26" x14ac:dyDescent="0.25">
      <c r="A86" s="43">
        <v>12.3</v>
      </c>
      <c r="B86" s="40" t="s">
        <v>26</v>
      </c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37">
        <f t="shared" si="23"/>
        <v>0</v>
      </c>
      <c r="Y86" s="37">
        <f t="shared" si="23"/>
        <v>0</v>
      </c>
      <c r="Z86" s="38">
        <f t="shared" si="23"/>
        <v>0</v>
      </c>
    </row>
    <row r="87" ht="15.75" customHeight="1" spans="1:26" x14ac:dyDescent="0.25">
      <c r="A87" s="46"/>
      <c r="B87" s="40" t="s">
        <v>27</v>
      </c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37">
        <f t="shared" si="23"/>
        <v>0</v>
      </c>
      <c r="Y87" s="37">
        <f t="shared" si="23"/>
        <v>0</v>
      </c>
      <c r="Z87" s="38">
        <f t="shared" si="23"/>
        <v>0</v>
      </c>
    </row>
    <row r="88" ht="15.75" customHeight="1" spans="1:26" x14ac:dyDescent="0.25">
      <c r="A88" s="46"/>
      <c r="B88" s="40" t="s">
        <v>28</v>
      </c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37">
        <f t="shared" si="23"/>
        <v>0</v>
      </c>
      <c r="Y88" s="37">
        <f t="shared" si="23"/>
        <v>0</v>
      </c>
      <c r="Z88" s="38">
        <f t="shared" si="23"/>
        <v>0</v>
      </c>
    </row>
    <row r="89" ht="15.75" customHeight="1" spans="1:26" s="48" customFormat="1" x14ac:dyDescent="0.25">
      <c r="A89" s="49">
        <v>13</v>
      </c>
      <c r="B89" s="50" t="s">
        <v>41</v>
      </c>
      <c r="C89" s="51">
        <f>C90+C91+C92</f>
        <v>0</v>
      </c>
      <c r="D89" s="51">
        <f>D90+D91+D92</f>
        <v>0</v>
      </c>
      <c r="E89" s="51">
        <f t="shared" ref="E89:W89" si="24">E90+E91+E92</f>
        <v>0</v>
      </c>
      <c r="F89" s="51">
        <f t="shared" si="24"/>
        <v>0</v>
      </c>
      <c r="G89" s="51">
        <f>G90+G91+G92</f>
        <v>0</v>
      </c>
      <c r="H89" s="51">
        <f t="shared" si="24"/>
        <v>0</v>
      </c>
      <c r="I89" s="51">
        <f t="shared" si="24"/>
        <v>0</v>
      </c>
      <c r="J89" s="51">
        <f>J90+J91+J92</f>
        <v>0</v>
      </c>
      <c r="K89" s="51">
        <f t="shared" si="24"/>
        <v>0</v>
      </c>
      <c r="L89" s="51">
        <f t="shared" si="24"/>
        <v>0</v>
      </c>
      <c r="M89" s="51">
        <f>M90+M91+M92</f>
        <v>0</v>
      </c>
      <c r="N89" s="51">
        <f t="shared" si="24"/>
        <v>0</v>
      </c>
      <c r="O89" s="51">
        <f t="shared" si="24"/>
        <v>0</v>
      </c>
      <c r="P89" s="51">
        <f>P90+P91+P92</f>
        <v>0</v>
      </c>
      <c r="Q89" s="51">
        <f t="shared" si="24"/>
        <v>0</v>
      </c>
      <c r="R89" s="51">
        <f t="shared" si="24"/>
        <v>0</v>
      </c>
      <c r="S89" s="51">
        <f>S90+S91+S92</f>
        <v>0</v>
      </c>
      <c r="T89" s="51">
        <f t="shared" si="24"/>
        <v>0</v>
      </c>
      <c r="U89" s="51">
        <f t="shared" si="24"/>
        <v>0</v>
      </c>
      <c r="V89" s="51">
        <f>V90+V91+V92</f>
        <v>0</v>
      </c>
      <c r="W89" s="51">
        <f t="shared" si="24"/>
        <v>0</v>
      </c>
      <c r="X89" s="52">
        <f>X90+X91+X92</f>
        <v>0</v>
      </c>
      <c r="Y89" s="52">
        <f>Y90+Y91+Y92</f>
        <v>0</v>
      </c>
      <c r="Z89" s="53">
        <f>Z90+Z91+Z92</f>
        <v>0</v>
      </c>
    </row>
    <row r="90" ht="15.75" customHeight="1" spans="1:26" s="48" customFormat="1" x14ac:dyDescent="0.25">
      <c r="A90" s="54">
        <v>13.1</v>
      </c>
      <c r="B90" s="55" t="s">
        <v>24</v>
      </c>
      <c r="C90" s="56">
        <v>630000</v>
      </c>
      <c r="D90" s="56">
        <v>17</v>
      </c>
      <c r="E90" s="56">
        <v>34</v>
      </c>
      <c r="F90" s="56">
        <v>645000</v>
      </c>
      <c r="G90" s="56">
        <v>17</v>
      </c>
      <c r="H90" s="56">
        <v>34</v>
      </c>
      <c r="I90" s="56">
        <v>660000</v>
      </c>
      <c r="J90" s="56">
        <v>17</v>
      </c>
      <c r="K90" s="56">
        <v>34</v>
      </c>
      <c r="L90" s="56">
        <v>675000</v>
      </c>
      <c r="M90" s="56">
        <v>17</v>
      </c>
      <c r="N90" s="56">
        <v>34</v>
      </c>
      <c r="O90" s="56">
        <v>690000</v>
      </c>
      <c r="P90" s="56">
        <v>17</v>
      </c>
      <c r="Q90" s="56">
        <v>34</v>
      </c>
      <c r="R90" s="56">
        <v>705000</v>
      </c>
      <c r="S90" s="56">
        <v>17</v>
      </c>
      <c r="T90" s="56">
        <v>34</v>
      </c>
      <c r="U90" s="56">
        <v>720000</v>
      </c>
      <c r="V90" s="56">
        <v>17</v>
      </c>
      <c r="W90" s="56">
        <v>34</v>
      </c>
      <c r="X90" s="37">
        <f t="shared" ref="X90:Z94" si="25">C90+F90+I90+L90+O90+R90+U90</f>
        <v>0</v>
      </c>
      <c r="Y90" s="37">
        <f t="shared" si="25"/>
        <v>0</v>
      </c>
      <c r="Z90" s="38">
        <f t="shared" si="25"/>
        <v>0</v>
      </c>
    </row>
    <row r="91" ht="15.75" customHeight="1" spans="1:26" s="48" customFormat="1" x14ac:dyDescent="0.25">
      <c r="A91" s="54">
        <v>13.2</v>
      </c>
      <c r="B91" s="55" t="s">
        <v>25</v>
      </c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37">
        <f t="shared" si="25"/>
        <v>0</v>
      </c>
      <c r="Y91" s="37">
        <f t="shared" si="25"/>
        <v>0</v>
      </c>
      <c r="Z91" s="38">
        <f t="shared" si="25"/>
        <v>0</v>
      </c>
    </row>
    <row r="92" ht="15.75" customHeight="1" spans="1:26" s="48" customFormat="1" x14ac:dyDescent="0.25">
      <c r="A92" s="54">
        <v>13.3</v>
      </c>
      <c r="B92" s="55" t="s">
        <v>26</v>
      </c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37">
        <f t="shared" si="25"/>
        <v>0</v>
      </c>
      <c r="Y92" s="37">
        <f t="shared" si="25"/>
        <v>0</v>
      </c>
      <c r="Z92" s="38">
        <f t="shared" si="25"/>
        <v>0</v>
      </c>
    </row>
    <row r="93" ht="15.75" customHeight="1" spans="1:26" s="48" customFormat="1" x14ac:dyDescent="0.25">
      <c r="A93" s="54"/>
      <c r="B93" s="40" t="s">
        <v>27</v>
      </c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37">
        <f t="shared" si="25"/>
        <v>0</v>
      </c>
      <c r="Y93" s="37">
        <f t="shared" si="25"/>
        <v>0</v>
      </c>
      <c r="Z93" s="38">
        <f t="shared" si="25"/>
        <v>0</v>
      </c>
    </row>
    <row r="94" ht="15.75" customHeight="1" spans="1:26" s="48" customFormat="1" x14ac:dyDescent="0.25">
      <c r="A94" s="54"/>
      <c r="B94" s="40" t="s">
        <v>28</v>
      </c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37">
        <f t="shared" si="25"/>
        <v>0</v>
      </c>
      <c r="Y94" s="37">
        <f t="shared" si="25"/>
        <v>0</v>
      </c>
      <c r="Z94" s="38">
        <f t="shared" si="25"/>
        <v>0</v>
      </c>
    </row>
    <row r="95" ht="15.75" customHeight="1" spans="1:26" s="48" customFormat="1" x14ac:dyDescent="0.25">
      <c r="A95" s="57">
        <v>14</v>
      </c>
      <c r="B95" s="58" t="s">
        <v>42</v>
      </c>
      <c r="C95" s="36">
        <f>C96+C97+C98</f>
        <v>0</v>
      </c>
      <c r="D95" s="36">
        <f>D96+D97+D98</f>
        <v>0</v>
      </c>
      <c r="E95" s="36">
        <f t="shared" ref="E95:W95" si="26">E96+E97+E98</f>
        <v>0</v>
      </c>
      <c r="F95" s="36">
        <f t="shared" si="26"/>
        <v>0</v>
      </c>
      <c r="G95" s="36">
        <f>G96+G97+G98</f>
        <v>0</v>
      </c>
      <c r="H95" s="36">
        <f t="shared" si="26"/>
        <v>0</v>
      </c>
      <c r="I95" s="36">
        <f t="shared" si="26"/>
        <v>0</v>
      </c>
      <c r="J95" s="36">
        <f>J96+J97+J98</f>
        <v>0</v>
      </c>
      <c r="K95" s="36">
        <f t="shared" si="26"/>
        <v>0</v>
      </c>
      <c r="L95" s="36">
        <f t="shared" si="26"/>
        <v>0</v>
      </c>
      <c r="M95" s="36">
        <f>M96+M97+M98</f>
        <v>0</v>
      </c>
      <c r="N95" s="36">
        <f t="shared" si="26"/>
        <v>0</v>
      </c>
      <c r="O95" s="36">
        <f t="shared" si="26"/>
        <v>0</v>
      </c>
      <c r="P95" s="36">
        <f>P96+P97+P98</f>
        <v>0</v>
      </c>
      <c r="Q95" s="36">
        <f t="shared" si="26"/>
        <v>0</v>
      </c>
      <c r="R95" s="36">
        <f t="shared" si="26"/>
        <v>0</v>
      </c>
      <c r="S95" s="36">
        <f>S96+S97+S98</f>
        <v>0</v>
      </c>
      <c r="T95" s="36">
        <f t="shared" si="26"/>
        <v>0</v>
      </c>
      <c r="U95" s="36">
        <f t="shared" si="26"/>
        <v>0</v>
      </c>
      <c r="V95" s="36">
        <f>V96+V97+V98</f>
        <v>0</v>
      </c>
      <c r="W95" s="36">
        <f t="shared" si="26"/>
        <v>0</v>
      </c>
      <c r="X95" s="37">
        <f>X96+X97+X98</f>
        <v>0</v>
      </c>
      <c r="Y95" s="37">
        <f>Y96+Y97+Y98</f>
        <v>0</v>
      </c>
      <c r="Z95" s="38">
        <f>Z96+Z97+Z98</f>
        <v>0</v>
      </c>
    </row>
    <row r="96" ht="15.75" customHeight="1" spans="1:26" s="48" customFormat="1" x14ac:dyDescent="0.25">
      <c r="A96" s="54">
        <v>14.1</v>
      </c>
      <c r="B96" s="55" t="s">
        <v>24</v>
      </c>
      <c r="C96" s="56">
        <v>640000</v>
      </c>
      <c r="D96" s="56">
        <v>18</v>
      </c>
      <c r="E96" s="56">
        <v>36</v>
      </c>
      <c r="F96" s="56">
        <v>655000</v>
      </c>
      <c r="G96" s="56">
        <v>18</v>
      </c>
      <c r="H96" s="56">
        <v>36</v>
      </c>
      <c r="I96" s="56">
        <v>670000</v>
      </c>
      <c r="J96" s="56">
        <v>18</v>
      </c>
      <c r="K96" s="56">
        <v>36</v>
      </c>
      <c r="L96" s="56">
        <v>685000</v>
      </c>
      <c r="M96" s="56">
        <v>18</v>
      </c>
      <c r="N96" s="56">
        <v>36</v>
      </c>
      <c r="O96" s="56">
        <v>700000</v>
      </c>
      <c r="P96" s="56">
        <v>18</v>
      </c>
      <c r="Q96" s="56">
        <v>36</v>
      </c>
      <c r="R96" s="56">
        <v>715000</v>
      </c>
      <c r="S96" s="56">
        <v>18</v>
      </c>
      <c r="T96" s="56">
        <v>36</v>
      </c>
      <c r="U96" s="56">
        <v>730000</v>
      </c>
      <c r="V96" s="56">
        <v>18</v>
      </c>
      <c r="W96" s="56">
        <v>36</v>
      </c>
      <c r="X96" s="37">
        <f t="shared" ref="X96:Z100" si="27">C96+F96+I96+L96+O96+R96+U96</f>
        <v>0</v>
      </c>
      <c r="Y96" s="37">
        <f t="shared" si="27"/>
        <v>0</v>
      </c>
      <c r="Z96" s="38">
        <f t="shared" si="27"/>
        <v>0</v>
      </c>
    </row>
    <row r="97" ht="15.75" customHeight="1" spans="1:26" s="48" customFormat="1" x14ac:dyDescent="0.25">
      <c r="A97" s="54">
        <v>14.2</v>
      </c>
      <c r="B97" s="55" t="s">
        <v>25</v>
      </c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37">
        <f t="shared" si="27"/>
        <v>0</v>
      </c>
      <c r="Y97" s="37">
        <f t="shared" si="27"/>
        <v>0</v>
      </c>
      <c r="Z97" s="38">
        <f t="shared" si="27"/>
        <v>0</v>
      </c>
    </row>
    <row r="98" ht="15.75" customHeight="1" spans="1:26" s="48" customFormat="1" x14ac:dyDescent="0.25">
      <c r="A98" s="54">
        <v>14.3</v>
      </c>
      <c r="B98" s="55" t="s">
        <v>26</v>
      </c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37">
        <f t="shared" si="27"/>
        <v>0</v>
      </c>
      <c r="Y98" s="37">
        <f t="shared" si="27"/>
        <v>0</v>
      </c>
      <c r="Z98" s="38">
        <f t="shared" si="27"/>
        <v>0</v>
      </c>
    </row>
    <row r="99" ht="15.75" customHeight="1" spans="1:26" s="48" customFormat="1" x14ac:dyDescent="0.25">
      <c r="A99" s="59"/>
      <c r="B99" s="40" t="s">
        <v>27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37">
        <f t="shared" si="27"/>
        <v>0</v>
      </c>
      <c r="Y99" s="37">
        <f t="shared" si="27"/>
        <v>0</v>
      </c>
      <c r="Z99" s="38">
        <f t="shared" si="27"/>
        <v>0</v>
      </c>
    </row>
    <row r="100" ht="15.75" customHeight="1" spans="1:26" s="48" customFormat="1" x14ac:dyDescent="0.25">
      <c r="A100" s="59"/>
      <c r="B100" s="40" t="s">
        <v>28</v>
      </c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37">
        <f t="shared" si="27"/>
        <v>0</v>
      </c>
      <c r="Y100" s="37">
        <f t="shared" si="27"/>
        <v>0</v>
      </c>
      <c r="Z100" s="38">
        <f t="shared" si="27"/>
        <v>0</v>
      </c>
    </row>
    <row r="101" ht="16.5" customHeight="1" spans="1:26" s="48" customFormat="1" x14ac:dyDescent="0.25">
      <c r="A101" s="61"/>
      <c r="B101" s="62" t="s">
        <v>43</v>
      </c>
      <c r="C101" s="63">
        <f>C17+C23+C29+C35+C41+C47+C53+C59+C65+C71+C77+C83+C89+C95</f>
        <v>0</v>
      </c>
      <c r="D101" s="63">
        <f t="shared" ref="D101:W101" si="28">D17+D23+D29+D35+D41+D47+D53+D59+D65+D71+D77+D83+D89+D95</f>
        <v>0</v>
      </c>
      <c r="E101" s="63">
        <f t="shared" si="28"/>
        <v>0</v>
      </c>
      <c r="F101" s="63">
        <f t="shared" si="28"/>
        <v>0</v>
      </c>
      <c r="G101" s="63">
        <f t="shared" si="28"/>
        <v>0</v>
      </c>
      <c r="H101" s="63">
        <f t="shared" si="28"/>
        <v>0</v>
      </c>
      <c r="I101" s="63">
        <f t="shared" si="28"/>
        <v>0</v>
      </c>
      <c r="J101" s="63">
        <f t="shared" si="28"/>
        <v>0</v>
      </c>
      <c r="K101" s="63">
        <f t="shared" si="28"/>
        <v>0</v>
      </c>
      <c r="L101" s="63">
        <f t="shared" si="28"/>
        <v>0</v>
      </c>
      <c r="M101" s="63">
        <f t="shared" si="28"/>
        <v>0</v>
      </c>
      <c r="N101" s="63">
        <f t="shared" si="28"/>
        <v>0</v>
      </c>
      <c r="O101" s="63">
        <f t="shared" si="28"/>
        <v>0</v>
      </c>
      <c r="P101" s="63">
        <f t="shared" si="28"/>
        <v>0</v>
      </c>
      <c r="Q101" s="63">
        <f t="shared" si="28"/>
        <v>0</v>
      </c>
      <c r="R101" s="63">
        <f t="shared" si="28"/>
        <v>0</v>
      </c>
      <c r="S101" s="63">
        <f t="shared" si="28"/>
        <v>0</v>
      </c>
      <c r="T101" s="63">
        <f t="shared" si="28"/>
        <v>0</v>
      </c>
      <c r="U101" s="63">
        <f t="shared" si="28"/>
        <v>0</v>
      </c>
      <c r="V101" s="63">
        <f t="shared" si="28"/>
        <v>0</v>
      </c>
      <c r="W101" s="63">
        <f t="shared" si="28"/>
        <v>0</v>
      </c>
      <c r="X101" s="64">
        <f>X17+X23+X29+X35+X41+X47+X53+X59+X65+X71+X77+X83+X89+X95</f>
        <v>0</v>
      </c>
      <c r="Y101" s="64">
        <f>Y17+Y23+Y29+Y35+Y41+Y47+Y53+Y59+Y65+Y71+Y77+Y83+Y89+Y95</f>
        <v>0</v>
      </c>
      <c r="Z101" s="64">
        <f>Z17+Z23+Z29+Z35+Z41+Z47+Z53+Z59+Z65+Z71+Z77+Z83+Z89+Z95</f>
        <v>0</v>
      </c>
    </row>
    <row r="102" ht="15.75" customHeight="1" x14ac:dyDescent="0.25"/>
    <row r="103" ht="18.75" customHeight="1" spans="1:13" x14ac:dyDescent="0.25">
      <c r="A103" s="65" t="s">
        <v>44</v>
      </c>
      <c r="B103" s="66" t="s">
        <v>45</v>
      </c>
      <c r="C103" s="66"/>
      <c r="D103" s="66"/>
      <c r="E103" s="66"/>
      <c r="F103" s="66"/>
      <c r="G103" s="66"/>
      <c r="H103" s="67"/>
      <c r="I103" s="67"/>
      <c r="J103" s="67"/>
      <c r="K103" s="67"/>
      <c r="L103" s="67"/>
      <c r="M103" s="67"/>
    </row>
    <row r="104" ht="18.75" customHeight="1" spans="2:9" x14ac:dyDescent="0.25">
      <c r="B104" s="68" t="s">
        <v>46</v>
      </c>
      <c r="C104" s="68"/>
      <c r="D104" s="68"/>
      <c r="E104" s="68"/>
      <c r="F104" s="68"/>
      <c r="G104" s="68"/>
      <c r="I104" t="s">
        <v>47</v>
      </c>
    </row>
    <row r="105" ht="18.75" customHeight="1" spans="2:26" x14ac:dyDescent="0.25">
      <c r="B105" s="68" t="s">
        <v>48</v>
      </c>
      <c r="C105" s="68"/>
      <c r="D105" s="68"/>
      <c r="E105" s="68"/>
      <c r="F105" s="68"/>
      <c r="G105" s="68"/>
      <c r="Z105" s="69"/>
    </row>
    <row r="106" ht="18.75" customHeight="1" spans="2:7" x14ac:dyDescent="0.25">
      <c r="B106" s="68" t="s">
        <v>49</v>
      </c>
      <c r="C106" s="68"/>
      <c r="D106" s="68"/>
      <c r="E106" s="68"/>
      <c r="F106" s="68"/>
      <c r="G106" s="68"/>
    </row>
  </sheetData>
  <sheetProtection sheet="1" objects="1" scenarios="1"/>
  <mergeCells count="17">
    <mergeCell ref="A4:AA7"/>
    <mergeCell ref="A8:B8"/>
    <mergeCell ref="A9:B9"/>
    <mergeCell ref="A10:B10"/>
    <mergeCell ref="A11:B11"/>
    <mergeCell ref="W13:Z13"/>
    <mergeCell ref="C14:E15"/>
    <mergeCell ref="F14:H15"/>
    <mergeCell ref="I14:K15"/>
    <mergeCell ref="L14:N15"/>
    <mergeCell ref="O14:Q15"/>
    <mergeCell ref="R14:T15"/>
    <mergeCell ref="U14:W15"/>
    <mergeCell ref="X14:Z15"/>
    <mergeCell ref="A14:A16"/>
    <mergeCell ref="B14:B16"/>
    <mergeCell ref="B103:F10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by range and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Zemenu Beyene</cp:lastModifiedBy>
  <dcterms:created xsi:type="dcterms:W3CDTF">2026-08-06T07:37:10Z</dcterms:created>
  <dcterms:modified xsi:type="dcterms:W3CDTF">2026-08-26T13:41:20Z</dcterms:modified>
</cp:coreProperties>
</file>