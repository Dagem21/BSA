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210"/>
  </bookViews>
  <sheets>
    <sheet sheetId="1" name="WALIR" state="visible" r:id="rId4"/>
  </sheets>
  <calcPr calcId="171027"/>
</workbook>
</file>

<file path=xl/sharedStrings.xml><?xml version="1.0" encoding="utf-8"?>
<sst xmlns="http://schemas.openxmlformats.org/spreadsheetml/2006/main" count="97" uniqueCount="37">
  <si>
    <t>LCMWAC001</t>
  </si>
  <si>
    <t>Monthly Weighted Average Lending Interest Rates (Conventional Banks)</t>
  </si>
  <si>
    <t xml:space="preserve">Instiution Code </t>
  </si>
  <si>
    <t>0000001</t>
  </si>
  <si>
    <t>Financial Year</t>
  </si>
  <si>
    <t>Start Date</t>
  </si>
  <si>
    <t>2026-08-01T00:00:00</t>
  </si>
  <si>
    <t>End Date</t>
  </si>
  <si>
    <t>2026-08-31T00:00:00</t>
  </si>
  <si>
    <t>Sector</t>
  </si>
  <si>
    <t xml:space="preserve">Loan Category </t>
  </si>
  <si>
    <t xml:space="preserve">Outstanding Loan &amp; 
Advance ( in
Mn Birr)</t>
  </si>
  <si>
    <t xml:space="preserve">No. of Loan 
Accounts by 
Loan Category </t>
  </si>
  <si>
    <t xml:space="preserve">Lending Interest Rates (% per annum) </t>
  </si>
  <si>
    <t xml:space="preserve">Minimum Rate 
by loan 
category</t>
  </si>
  <si>
    <t xml:space="preserve">Maximum Rate 
by loan 
category</t>
  </si>
  <si>
    <t xml:space="preserve">Weighted 
Average Rate 
by loan 
category </t>
  </si>
  <si>
    <t xml:space="preserve">Weighted Average Rate 
by Sector</t>
  </si>
  <si>
    <t>Agriculture</t>
  </si>
  <si>
    <t>Over- draft</t>
  </si>
  <si>
    <t>Up to 12 months</t>
  </si>
  <si>
    <t>1-5 years</t>
  </si>
  <si>
    <t>Over 5 years</t>
  </si>
  <si>
    <t>Manufacturing</t>
  </si>
  <si>
    <t>Domestic Trade</t>
  </si>
  <si>
    <t>International trade  Export</t>
  </si>
  <si>
    <t>International trade  Import</t>
  </si>
  <si>
    <t>Hotel and Tourism</t>
  </si>
  <si>
    <t>Buliding  and Construction</t>
  </si>
  <si>
    <t>Mining and Quarring</t>
  </si>
  <si>
    <t>Financial Institutions</t>
  </si>
  <si>
    <t>Transport and Communication</t>
  </si>
  <si>
    <t>Health and Education</t>
  </si>
  <si>
    <t>Consumer  loans</t>
  </si>
  <si>
    <t>Staff loans</t>
  </si>
  <si>
    <t>Other loans (not included elesewhere)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</si>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</sst>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452]yyyy-mm-dd;@"/>
    <numFmt numFmtId="165" formatCode="_-* #,##0.00_-;-* #,##0.00_-;_-* &quot;-&quot;??_-;_-@_-"/>
  </numFmts>
  <fonts count="7" x14ac:knownFonts="1">
    <font>
      <color theme="1"/>
      <family val="2"/>
      <scheme val="minor"/>
      <sz val="11"/>
      <name val="Calibri"/>
    </font>
    <font>
      <color theme="0"/>
      <family val="2"/>
      <scheme val="minor"/>
      <sz val="11"/>
      <name val="Calibri"/>
    </font>
    <font>
      <color rgb="FFFF0000"/>
      <family val="2"/>
      <scheme val="minor"/>
      <sz val="18"/>
      <name val="Calibri"/>
    </font>
    <font>
      <b/>
      <color theme="1"/>
      <family val="1"/>
      <sz val="12"/>
      <name val="Times New Roman"/>
    </font>
    <font>
      <b/>
      <color theme="1"/>
      <family val="2"/>
      <scheme val="minor"/>
      <sz val="11"/>
      <name val="Calibri"/>
    </font>
    <font>
      <family val="2"/>
      <sz val="10"/>
      <name val="Times New Roman"/>
    </font>
    <font>
      <color theme="0"/>
      <family val="2"/>
      <sz val="1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3499862666707358"/>
        <bgColor indexed="64"/>
      </patternFill>
    </fill>
  </fills>
  <borders count="28">
    <border>
      <left/>
      <right/>
      <top/>
      <bottom/>
      <diagonal/>
    </border>
    <border>
      <left style="thick">
        <color rgb="FFFF0000"/>
      </left>
      <right style="thin"/>
      <top style="thick">
        <color rgb="FFFF0000"/>
      </top>
      <bottom style="thick">
        <color rgb="FFFF0000"/>
      </bottom>
      <diagonal/>
    </border>
    <border>
      <left style="thin"/>
      <right style="thin"/>
      <top style="thick">
        <color rgb="FFFF0000"/>
      </top>
      <bottom style="thick">
        <color rgb="FFFF0000"/>
      </bottom>
      <diagonal/>
    </border>
    <border>
      <left style="thin"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n"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rgb="FFFF0000"/>
      </bottom>
      <diagonal/>
    </border>
    <border>
      <left style="thick">
        <color rgb="FFFF0000"/>
      </left>
      <right style="thin"/>
      <top style="thick">
        <color rgb="FFFF0000"/>
      </top>
      <bottom style="thin"/>
      <diagonal/>
    </border>
    <border>
      <left style="thin"/>
      <right style="thin"/>
      <top style="thick">
        <color rgb="FFFF0000"/>
      </top>
      <bottom style="thin"/>
      <diagonal/>
    </border>
    <border>
      <left style="thin"/>
      <right/>
      <top style="thick">
        <color rgb="FFFF0000"/>
      </top>
      <bottom style="thin"/>
      <diagonal/>
    </border>
    <border>
      <left style="medium">
        <color indexed="64"/>
      </left>
      <right/>
      <top style="thick">
        <color rgb="FFFF0000"/>
      </top>
      <bottom style="medium">
        <color indexed="64"/>
      </bottom>
      <diagonal/>
    </border>
    <border>
      <left/>
      <right/>
      <top style="thick">
        <color rgb="FFFF0000"/>
      </top>
      <bottom style="medium">
        <color indexed="64"/>
      </bottom>
      <diagonal/>
    </border>
    <border>
      <left/>
      <right style="thick">
        <color rgb="FFFF0000"/>
      </right>
      <top style="thick">
        <color rgb="FFFF0000"/>
      </top>
      <bottom style="medium">
        <color indexed="64"/>
      </bottom>
      <diagonal/>
    </border>
    <border>
      <left style="thick">
        <color rgb="FFFF0000"/>
      </left>
      <right style="thin">
        <color indexed="64"/>
      </right>
      <top style="thin"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/>
      <right style="thick">
        <color rgb="FFFF0000"/>
      </right>
      <top style="medium">
        <color indexed="64"/>
      </top>
      <bottom/>
      <diagonal/>
    </border>
    <border>
      <left style="thin"/>
      <right style="thin"/>
      <top style="medium">
        <color indexed="64"/>
      </top>
      <bottom style="thin"/>
      <diagonal/>
    </border>
    <border>
      <left style="thin"/>
      <right style="thin"/>
      <top style="thin"/>
      <bottom style="medium">
        <color indexed="64"/>
      </bottom>
      <diagonal/>
    </border>
    <border>
      <left style="thin"/>
      <right style="thick">
        <color rgb="FFFF0000"/>
      </right>
      <top style="medium">
        <color indexed="64"/>
      </top>
      <bottom style="thin"/>
      <diagonal/>
    </border>
    <border>
      <left style="thin">
        <color indexed="64"/>
      </left>
      <right style="thick">
        <color rgb="FFFF0000"/>
      </right>
      <top style="thin"/>
      <bottom style="thin"/>
      <diagonal/>
    </border>
    <border>
      <left style="thin"/>
      <right style="thick">
        <color rgb="FFFF0000"/>
      </right>
      <top style="thin"/>
      <bottom style="medium">
        <color indexed="64"/>
      </bottom>
      <diagonal/>
    </border>
    <border>
      <left style="medium">
        <color indexed="64"/>
      </left>
      <right style="thin"/>
      <top style="medium">
        <color indexed="64"/>
      </top>
      <bottom/>
      <diagonal/>
    </border>
    <border>
      <left style="medium">
        <color indexed="64"/>
      </left>
      <right style="thin"/>
      <top/>
      <bottom/>
      <diagonal/>
    </border>
    <border>
      <left style="medium">
        <color indexed="64"/>
      </left>
      <right style="thin"/>
      <top/>
      <bottom style="medium">
        <color indexed="64"/>
      </bottom>
      <diagonal/>
    </border>
    <border>
      <left style="medium">
        <color indexed="64"/>
      </left>
      <right style="thin"/>
      <top/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/>
      <right style="thick">
        <color rgb="FFFF0000"/>
      </right>
      <top style="thin"/>
      <bottom style="thick">
        <color rgb="FFFF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3" borderId="4" xfId="0" applyFill="1" applyBorder="1"/>
    <xf numFmtId="49" fontId="3" fillId="4" borderId="5" xfId="0" applyNumberFormat="1" applyFont="1" applyFill="1" applyBorder="1" applyProtection="1">
      <protection locked="0"/>
    </xf>
    <xf numFmtId="0" fontId="0" fillId="3" borderId="5" xfId="0" applyFill="1" applyBorder="1"/>
    <xf numFmtId="164" fontId="3" fillId="4" borderId="5" xfId="0" applyNumberFormat="1" applyFont="1" applyFill="1" applyBorder="1" applyProtection="1">
      <protection locked="0"/>
    </xf>
    <xf numFmtId="0" fontId="0" fillId="3" borderId="6" xfId="0" applyFill="1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4" fillId="5" borderId="5" xfId="0" applyFont="1" applyFill="1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left"/>
      <protection locked="0"/>
    </xf>
    <xf numFmtId="0" fontId="0" fillId="0" borderId="17" xfId="0" applyBorder="1" applyProtection="1">
      <protection locked="0"/>
    </xf>
    <xf numFmtId="165" fontId="0" fillId="0" borderId="6" xfId="0" applyNumberForma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left"/>
      <protection locked="0"/>
    </xf>
    <xf numFmtId="0" fontId="0" fillId="0" borderId="5" xfId="0" applyBorder="1" applyProtection="1"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/>
    </xf>
    <xf numFmtId="0" fontId="5" fillId="0" borderId="18" xfId="0" applyFont="1" applyBorder="1" applyAlignment="1" applyProtection="1">
      <alignment horizontal="left"/>
      <protection locked="0"/>
    </xf>
    <xf numFmtId="0" fontId="0" fillId="0" borderId="18" xfId="0" applyBorder="1" applyProtection="1"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4" fillId="5" borderId="5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5" borderId="15" xfId="0" applyFont="1" applyFill="1" applyBorder="1" applyAlignment="1" applyProtection="1">
      <alignment horizontal="center" vertical="center" wrapText="1"/>
      <protection locked="0"/>
    </xf>
    <xf numFmtId="0" fontId="4" fillId="5" borderId="4" xfId="0" applyFont="1" applyFill="1" applyBorder="1" applyAlignment="1" applyProtection="1">
      <alignment horizontal="center" vertical="center" wrapText="1"/>
      <protection locked="0"/>
    </xf>
    <xf numFmtId="0" fontId="0" fillId="0" borderId="19" xfId="0" applyBorder="1" applyProtection="1"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22" xfId="0" applyBorder="1" applyProtection="1">
      <protection locked="0"/>
    </xf>
    <xf numFmtId="0" fontId="0" fillId="0" borderId="23" xfId="0" applyBorder="1" applyProtection="1">
      <protection locked="0"/>
    </xf>
    <xf numFmtId="0" fontId="0" fillId="0" borderId="24" xfId="0" applyBorder="1" applyProtection="1">
      <protection locked="0"/>
    </xf>
    <xf numFmtId="0" fontId="0" fillId="0" borderId="25" xfId="0" applyBorder="1" applyProtection="1">
      <protection locked="0"/>
    </xf>
    <xf numFmtId="0" fontId="5" fillId="0" borderId="26" xfId="0" applyFont="1" applyBorder="1" applyAlignment="1" applyProtection="1">
      <alignment horizontal="left"/>
      <protection locked="0"/>
    </xf>
    <xf numFmtId="0" fontId="0" fillId="0" borderId="26" xfId="0" applyBorder="1" applyProtection="1">
      <protection locked="0"/>
    </xf>
    <xf numFmtId="0" fontId="0" fillId="0" borderId="27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workbookViewId="0" zoomScale="100" zoomScaleNormal="100">
      <selection activeCell="C53" sqref="C53"/>
    </sheetView>
  </sheetViews>
  <sheetFormatPr defaultRowHeight="15" outlineLevelRow="0" outlineLevelCol="0" x14ac:dyDescent="0.25"/>
  <cols>
    <col min="1" max="1" width="60.28515625" customWidth="1"/>
    <col min="2" max="2" width="18.85546875" customWidth="1"/>
    <col min="3" max="3" width="21.28515625" customWidth="1"/>
    <col min="4" max="4" width="13.85546875" customWidth="1"/>
    <col min="5" max="5" width="14.140625" customWidth="1"/>
    <col min="6" max="6" width="16.5703125" customWidth="1"/>
    <col min="7" max="7" width="16.42578125" customWidth="1"/>
    <col min="8" max="8" width="18.140625" customWidth="1"/>
    <col min="10" max="10" width="13.7109375" hidden="1" customWidth="1"/>
  </cols>
  <sheetData>
    <row r="1" spans="1:2" x14ac:dyDescent="0.25">
      <c r="A1" s="1" t="s">
        <v>0</v>
      </c>
    </row>
    <row r="2" spans="1:2" x14ac:dyDescent="0.25"/>
    <row r="3" ht="15.75" customHeight="1" spans="1:2" x14ac:dyDescent="0.25"/>
    <row r="4" ht="38.45" customHeight="1" spans="1:8" x14ac:dyDescent="0.25">
      <c r="A4" s="2" t="s">
        <v>1</v>
      </c>
      <c r="B4" s="3"/>
      <c r="C4" s="3"/>
      <c r="D4" s="3"/>
      <c r="E4" s="3"/>
      <c r="F4" s="3"/>
      <c r="G4" s="3"/>
      <c r="H4" s="4"/>
    </row>
    <row r="5" ht="16.5" customHeight="1" spans="1:2" x14ac:dyDescent="0.25">
      <c r="A5" s="5" t="s">
        <v>2</v>
      </c>
      <c r="B5" s="6" t="s">
        <v>3</v>
      </c>
    </row>
    <row r="6" ht="15.75" customHeight="1" spans="1:2" x14ac:dyDescent="0.25">
      <c r="A6" s="7" t="s">
        <v>4</v>
      </c>
      <c r="B6" s="6">
        <v>2026</v>
      </c>
    </row>
    <row r="7" ht="15.75" customHeight="1" spans="1:2" x14ac:dyDescent="0.25">
      <c r="A7" s="7" t="s">
        <v>5</v>
      </c>
      <c r="B7" s="8" t="s">
        <v>6</v>
      </c>
    </row>
    <row r="8" ht="16.5" customHeight="1" spans="1:8" x14ac:dyDescent="0.25">
      <c r="A8" s="9" t="s">
        <v>7</v>
      </c>
      <c r="B8" s="8" t="s">
        <v>8</v>
      </c>
      <c r="F8" s="10"/>
      <c r="G8" s="10"/>
      <c r="H8" s="10"/>
    </row>
    <row r="9" ht="16.5" customHeight="1" spans="1:9" x14ac:dyDescent="0.25">
      <c r="A9" s="11" t="s">
        <v>9</v>
      </c>
      <c r="B9" s="12" t="s">
        <v>10</v>
      </c>
      <c r="C9" s="12" t="s">
        <v>11</v>
      </c>
      <c r="D9" s="13" t="s">
        <v>12</v>
      </c>
      <c r="E9" s="14" t="s">
        <v>13</v>
      </c>
      <c r="F9" s="15"/>
      <c r="G9" s="15"/>
      <c r="H9" s="16"/>
    </row>
    <row r="10" ht="60.75" customHeight="1" spans="1:8" x14ac:dyDescent="0.25">
      <c r="A10" s="17"/>
      <c r="B10" s="18"/>
      <c r="C10" s="18"/>
      <c r="D10" s="18"/>
      <c r="E10" s="19" t="s">
        <v>14</v>
      </c>
      <c r="F10" s="19" t="s">
        <v>15</v>
      </c>
      <c r="G10" s="19" t="s">
        <v>16</v>
      </c>
      <c r="H10" s="20" t="s">
        <v>17</v>
      </c>
    </row>
    <row r="11" ht="15.75" customHeight="1" spans="1:10" x14ac:dyDescent="0.25">
      <c r="A11" s="21" t="s">
        <v>18</v>
      </c>
      <c r="B11" s="22" t="s">
        <v>19</v>
      </c>
      <c r="C11" s="22">
        <v>624.82917264</v>
      </c>
      <c r="D11" s="23">
        <v>14</v>
      </c>
      <c r="E11" s="23">
        <v>14</v>
      </c>
      <c r="F11" s="23">
        <v>15</v>
      </c>
      <c r="G11" s="23">
        <v>14.95833781345386</v>
      </c>
      <c r="H11" s="24">
        <f>((C11*G11)+(C12*G12)+(C13*G13)+(C14*G14))/SUM(C11:C14)</f>
        <v>14.186077031983679</v>
      </c>
    </row>
    <row r="12" ht="15.75" customHeight="1" spans="1:10" x14ac:dyDescent="0.25">
      <c r="A12" s="21"/>
      <c r="B12" s="22" t="s">
        <v>20</v>
      </c>
      <c r="C12" s="25">
        <v>72359.16460542</v>
      </c>
      <c r="D12" s="26">
        <v>994</v>
      </c>
      <c r="E12" s="26">
        <v>10</v>
      </c>
      <c r="F12" s="26">
        <v>19.5</v>
      </c>
      <c r="G12" s="26">
        <v>14.001267080724428</v>
      </c>
      <c r="H12" s="27"/>
      <c r="J12" s="28" t="s">
        <v>19</v>
      </c>
    </row>
    <row r="13" ht="15.75" customHeight="1" spans="1:10" x14ac:dyDescent="0.25">
      <c r="A13" s="21"/>
      <c r="B13" s="22" t="s">
        <v>21</v>
      </c>
      <c r="C13" s="25">
        <v>5012.703713119996</v>
      </c>
      <c r="D13" s="26">
        <v>428</v>
      </c>
      <c r="E13" s="26">
        <v>10</v>
      </c>
      <c r="F13" s="26">
        <v>19.5</v>
      </c>
      <c r="G13" s="26">
        <v>14.580225233546612</v>
      </c>
      <c r="H13" s="27"/>
      <c r="J13" s="28" t="s">
        <v>20</v>
      </c>
    </row>
    <row r="14" ht="15.75" customHeight="1" spans="1:10" x14ac:dyDescent="0.25">
      <c r="A14" s="21"/>
      <c r="B14" s="22" t="s">
        <v>22</v>
      </c>
      <c r="C14" s="29">
        <v>7766.11478993</v>
      </c>
      <c r="D14" s="30">
        <v>103</v>
      </c>
      <c r="E14" s="30">
        <v>11</v>
      </c>
      <c r="F14" s="30">
        <v>21.5</v>
      </c>
      <c r="G14" s="30">
        <v>15.591466310982948</v>
      </c>
      <c r="H14" s="31"/>
      <c r="J14" s="28" t="s">
        <v>21</v>
      </c>
    </row>
    <row r="15" ht="15.75" customHeight="1" spans="1:10" x14ac:dyDescent="0.25">
      <c r="A15" s="32" t="s">
        <v>23</v>
      </c>
      <c r="B15" s="22" t="s">
        <v>19</v>
      </c>
      <c r="C15" s="22">
        <v>34399.283357219996</v>
      </c>
      <c r="D15" s="23">
        <v>248</v>
      </c>
      <c r="E15" s="23">
        <v>12</v>
      </c>
      <c r="F15" s="23">
        <v>15</v>
      </c>
      <c r="G15" s="23">
        <v>14.964630568239597</v>
      </c>
      <c r="H15" s="24">
        <f>((C15*G15)+(C16*G16)+(C17*G17)+(C18*G18))/SUM(C15:C18)</f>
        <v>15.925333988630017</v>
      </c>
      <c r="J15" s="28" t="s">
        <v>22</v>
      </c>
    </row>
    <row r="16" ht="15.75" customHeight="1" spans="1:10" x14ac:dyDescent="0.25">
      <c r="A16" s="32"/>
      <c r="B16" s="22" t="s">
        <v>20</v>
      </c>
      <c r="C16" s="25">
        <v>8141.923089939996</v>
      </c>
      <c r="D16" s="26">
        <v>454</v>
      </c>
      <c r="E16" s="26">
        <v>10</v>
      </c>
      <c r="F16" s="26">
        <v>18.75</v>
      </c>
      <c r="G16" s="26">
        <v>14.96985848702922</v>
      </c>
      <c r="H16" s="27"/>
    </row>
    <row r="17" ht="15.75" customHeight="1" spans="1:10" x14ac:dyDescent="0.25">
      <c r="A17" s="32"/>
      <c r="B17" s="22" t="s">
        <v>21</v>
      </c>
      <c r="C17" s="25">
        <v>27282.34913934001</v>
      </c>
      <c r="D17" s="26">
        <v>806</v>
      </c>
      <c r="E17" s="26">
        <v>10</v>
      </c>
      <c r="F17" s="26">
        <v>26.25</v>
      </c>
      <c r="G17" s="26">
        <v>15.779159192876204</v>
      </c>
      <c r="H17" s="27"/>
    </row>
    <row r="18" ht="15.75" customHeight="1" spans="1:10" x14ac:dyDescent="0.25">
      <c r="A18" s="32"/>
      <c r="B18" s="22" t="s">
        <v>22</v>
      </c>
      <c r="C18" s="29">
        <v>70577.89492006003</v>
      </c>
      <c r="D18" s="30">
        <v>136</v>
      </c>
      <c r="E18" s="30">
        <v>11</v>
      </c>
      <c r="F18" s="30">
        <v>19.5</v>
      </c>
      <c r="G18" s="30">
        <v>16.56030488273932</v>
      </c>
      <c r="H18" s="31"/>
    </row>
    <row r="19" ht="15.75" customHeight="1" spans="1:8" x14ac:dyDescent="0.25">
      <c r="A19" s="32" t="s">
        <v>24</v>
      </c>
      <c r="B19" s="22" t="s">
        <v>19</v>
      </c>
      <c r="C19" s="22">
        <v>17086.26813514999</v>
      </c>
      <c r="D19" s="23">
        <v>546</v>
      </c>
      <c r="E19" s="23">
        <v>14</v>
      </c>
      <c r="F19" s="23">
        <v>15</v>
      </c>
      <c r="G19" s="23">
        <v>14.999860529635196</v>
      </c>
      <c r="H19" s="24">
        <f>((C19*G19)+(C20*G20)+(C21*G21)+(C22*G22))/SUM(C19:C22)</f>
        <v>15.451435607694721</v>
      </c>
    </row>
    <row r="20" ht="15.75" customHeight="1" spans="1:8" x14ac:dyDescent="0.25">
      <c r="A20" s="32"/>
      <c r="B20" s="22" t="s">
        <v>20</v>
      </c>
      <c r="C20" s="25">
        <v>14510.286662879971</v>
      </c>
      <c r="D20" s="26">
        <v>14030</v>
      </c>
      <c r="E20" s="26">
        <v>10</v>
      </c>
      <c r="F20" s="26">
        <v>18.5</v>
      </c>
      <c r="G20" s="26">
        <v>14.702521287752196</v>
      </c>
      <c r="H20" s="27"/>
    </row>
    <row r="21" ht="15.75" customHeight="1" spans="1:8" x14ac:dyDescent="0.25">
      <c r="A21" s="32"/>
      <c r="B21" s="22" t="s">
        <v>21</v>
      </c>
      <c r="C21" s="25">
        <v>26035.199129979934</v>
      </c>
      <c r="D21" s="26">
        <v>7957</v>
      </c>
      <c r="E21" s="26">
        <v>10</v>
      </c>
      <c r="F21" s="26">
        <v>21.75</v>
      </c>
      <c r="G21" s="26">
        <v>15.714342885522973</v>
      </c>
      <c r="H21" s="27"/>
    </row>
    <row r="22" ht="15.75" customHeight="1" spans="1:8" x14ac:dyDescent="0.25">
      <c r="A22" s="32"/>
      <c r="B22" s="22" t="s">
        <v>22</v>
      </c>
      <c r="C22" s="29">
        <v>13923.884464369996</v>
      </c>
      <c r="D22" s="30">
        <v>904</v>
      </c>
      <c r="E22" s="30">
        <v>12</v>
      </c>
      <c r="F22" s="30">
        <v>21</v>
      </c>
      <c r="G22" s="30">
        <v>16.294436785579723</v>
      </c>
      <c r="H22" s="31"/>
    </row>
    <row r="23" ht="15.75" customHeight="1" spans="1:8" x14ac:dyDescent="0.25">
      <c r="A23" s="32" t="s">
        <v>25</v>
      </c>
      <c r="B23" s="22" t="s">
        <v>19</v>
      </c>
      <c r="C23" s="22">
        <v>7128.30529086</v>
      </c>
      <c r="D23" s="23">
        <v>49</v>
      </c>
      <c r="E23" s="23">
        <v>12</v>
      </c>
      <c r="F23" s="23">
        <v>15</v>
      </c>
      <c r="G23" s="23">
        <v>13.074210092054878</v>
      </c>
      <c r="H23" s="24">
        <f>((C23*G23)+(C24*G24)+(C25*G25)+(C26*G26))/SUM(C23:C26)</f>
        <v>12.582129504043962</v>
      </c>
    </row>
    <row r="24" ht="15.75" customHeight="1" spans="1:8" x14ac:dyDescent="0.25">
      <c r="A24" s="32"/>
      <c r="B24" s="22" t="s">
        <v>20</v>
      </c>
      <c r="C24" s="25">
        <v>57977.29144976998</v>
      </c>
      <c r="D24" s="26">
        <v>301</v>
      </c>
      <c r="E24" s="26">
        <v>12</v>
      </c>
      <c r="F24" s="26">
        <v>24</v>
      </c>
      <c r="G24" s="26">
        <v>12.244557466291807</v>
      </c>
      <c r="H24" s="27"/>
    </row>
    <row r="25" ht="15.75" customHeight="1" spans="1:8" x14ac:dyDescent="0.25">
      <c r="A25" s="32"/>
      <c r="B25" s="22" t="s">
        <v>21</v>
      </c>
      <c r="C25" s="25">
        <v>3721.38060008</v>
      </c>
      <c r="D25" s="26">
        <v>85</v>
      </c>
      <c r="E25" s="26">
        <v>10.5</v>
      </c>
      <c r="F25" s="26">
        <v>24.75</v>
      </c>
      <c r="G25" s="26">
        <v>16.37472041976774</v>
      </c>
      <c r="H25" s="27"/>
    </row>
    <row r="26" ht="15.75" customHeight="1" spans="1:8" x14ac:dyDescent="0.25">
      <c r="A26" s="32"/>
      <c r="B26" s="22" t="s">
        <v>22</v>
      </c>
      <c r="C26" s="29">
        <v>302.76725139</v>
      </c>
      <c r="D26" s="30">
        <v>13</v>
      </c>
      <c r="E26" s="30">
        <v>11</v>
      </c>
      <c r="F26" s="30">
        <v>24</v>
      </c>
      <c r="G26" s="30">
        <v>19.023174538586282</v>
      </c>
      <c r="H26" s="31"/>
    </row>
    <row r="27" ht="15.75" customHeight="1" spans="1:8" x14ac:dyDescent="0.25">
      <c r="A27" s="32" t="s">
        <v>26</v>
      </c>
      <c r="B27" s="22" t="s">
        <v>19</v>
      </c>
      <c r="C27" s="22">
        <v>10419.739770769995</v>
      </c>
      <c r="D27" s="23">
        <v>61</v>
      </c>
      <c r="E27" s="23">
        <v>12</v>
      </c>
      <c r="F27" s="23">
        <v>15</v>
      </c>
      <c r="G27" s="23">
        <v>14.61759995513539</v>
      </c>
      <c r="H27" s="24">
        <f>((C27*G27)+(C28*G28)+(C29*G29)+(C30*G30))/SUM(C27:C30)</f>
        <v>16.654978948383764</v>
      </c>
    </row>
    <row r="28" ht="15.75" customHeight="1" spans="1:8" x14ac:dyDescent="0.25">
      <c r="A28" s="32"/>
      <c r="B28" s="22" t="s">
        <v>20</v>
      </c>
      <c r="C28" s="25">
        <v>22388.867829700004</v>
      </c>
      <c r="D28" s="26">
        <v>108</v>
      </c>
      <c r="E28" s="26">
        <v>10</v>
      </c>
      <c r="F28" s="26">
        <v>18</v>
      </c>
      <c r="G28" s="26">
        <v>17.80942194960257</v>
      </c>
      <c r="H28" s="27"/>
    </row>
    <row r="29" ht="15.75" customHeight="1" spans="1:8" x14ac:dyDescent="0.25">
      <c r="A29" s="32"/>
      <c r="B29" s="22" t="s">
        <v>21</v>
      </c>
      <c r="C29" s="25">
        <v>4910.337905149998</v>
      </c>
      <c r="D29" s="26">
        <v>188</v>
      </c>
      <c r="E29" s="26">
        <v>10</v>
      </c>
      <c r="F29" s="26">
        <v>18.75</v>
      </c>
      <c r="G29" s="26">
        <v>15.722217765907326</v>
      </c>
      <c r="H29" s="27"/>
    </row>
    <row r="30" ht="15.75" customHeight="1" spans="1:8" x14ac:dyDescent="0.25">
      <c r="A30" s="32"/>
      <c r="B30" s="22" t="s">
        <v>22</v>
      </c>
      <c r="C30" s="29">
        <v>242.228101</v>
      </c>
      <c r="D30" s="30">
        <v>1</v>
      </c>
      <c r="E30" s="30">
        <v>16.5</v>
      </c>
      <c r="F30" s="30">
        <v>16.5</v>
      </c>
      <c r="G30" s="30">
        <v>16.5</v>
      </c>
      <c r="H30" s="31"/>
    </row>
    <row r="31" ht="15.75" customHeight="1" spans="1:8" x14ac:dyDescent="0.25">
      <c r="A31" s="32" t="s">
        <v>27</v>
      </c>
      <c r="B31" s="22" t="s">
        <v>19</v>
      </c>
      <c r="C31" s="22">
        <v>1063.2856897699999</v>
      </c>
      <c r="D31" s="23">
        <v>70</v>
      </c>
      <c r="E31" s="23">
        <v>15</v>
      </c>
      <c r="F31" s="23">
        <v>15</v>
      </c>
      <c r="G31" s="23">
        <v>15</v>
      </c>
      <c r="H31" s="24">
        <f>((C31*G31)+(C32*G32)+(C33*G33)+(C34*G34))/SUM(C31:C34)</f>
        <v>16.264030825961594</v>
      </c>
    </row>
    <row r="32" ht="15.75" customHeight="1" spans="1:8" x14ac:dyDescent="0.25">
      <c r="A32" s="32"/>
      <c r="B32" s="22" t="s">
        <v>20</v>
      </c>
      <c r="C32" s="25">
        <v>347.6374972199999</v>
      </c>
      <c r="D32" s="26">
        <v>658</v>
      </c>
      <c r="E32" s="26">
        <v>10</v>
      </c>
      <c r="F32" s="26">
        <v>18.75</v>
      </c>
      <c r="G32" s="26">
        <v>14.371479022092588</v>
      </c>
      <c r="H32" s="27"/>
    </row>
    <row r="33" ht="15.75" customHeight="1" spans="1:8" x14ac:dyDescent="0.25">
      <c r="A33" s="32"/>
      <c r="B33" s="22" t="s">
        <v>21</v>
      </c>
      <c r="C33" s="25">
        <v>1513.3134220699988</v>
      </c>
      <c r="D33" s="26">
        <v>379</v>
      </c>
      <c r="E33" s="26">
        <v>5</v>
      </c>
      <c r="F33" s="26">
        <v>18.75</v>
      </c>
      <c r="G33" s="26">
        <v>15.673525932194737</v>
      </c>
      <c r="H33" s="27"/>
    </row>
    <row r="34" ht="15.75" customHeight="1" spans="1:8" x14ac:dyDescent="0.25">
      <c r="A34" s="32"/>
      <c r="B34" s="22" t="s">
        <v>22</v>
      </c>
      <c r="C34" s="29">
        <v>9109.908219809999</v>
      </c>
      <c r="D34" s="30">
        <v>173</v>
      </c>
      <c r="E34" s="30">
        <v>5</v>
      </c>
      <c r="F34" s="30">
        <v>19.5</v>
      </c>
      <c r="G34" s="30">
        <v>16.581878906622624</v>
      </c>
      <c r="H34" s="31"/>
    </row>
    <row r="35" ht="15.75" customHeight="1" spans="1:8" x14ac:dyDescent="0.25">
      <c r="A35" s="32" t="s">
        <v>28</v>
      </c>
      <c r="B35" s="22" t="s">
        <v>19</v>
      </c>
      <c r="C35" s="22">
        <v>684.4741999500002</v>
      </c>
      <c r="D35" s="23">
        <v>15</v>
      </c>
      <c r="E35" s="23">
        <v>15</v>
      </c>
      <c r="F35" s="23">
        <v>15</v>
      </c>
      <c r="G35" s="23">
        <v>15</v>
      </c>
      <c r="H35" s="24">
        <f>((C35*G35)+(C36*G36)+(C37*G37)+(C38*G38))/SUM(C35:C38)</f>
        <v>15.711305330162517</v>
      </c>
    </row>
    <row r="36" ht="15.75" customHeight="1" spans="1:8" x14ac:dyDescent="0.25">
      <c r="A36" s="32"/>
      <c r="B36" s="22" t="s">
        <v>20</v>
      </c>
      <c r="C36" s="25">
        <v>761.8823098299998</v>
      </c>
      <c r="D36" s="26">
        <v>117</v>
      </c>
      <c r="E36" s="26">
        <v>10</v>
      </c>
      <c r="F36" s="26">
        <v>18</v>
      </c>
      <c r="G36" s="26">
        <v>14.952807182229991</v>
      </c>
      <c r="H36" s="27"/>
    </row>
    <row r="37" ht="15.75" customHeight="1" spans="1:8" x14ac:dyDescent="0.25">
      <c r="A37" s="32"/>
      <c r="B37" s="22" t="s">
        <v>21</v>
      </c>
      <c r="C37" s="25">
        <v>60565.267669580004</v>
      </c>
      <c r="D37" s="26">
        <v>93</v>
      </c>
      <c r="E37" s="26">
        <v>10</v>
      </c>
      <c r="F37" s="26">
        <v>25</v>
      </c>
      <c r="G37" s="26">
        <v>14.702458582490278</v>
      </c>
      <c r="H37" s="27"/>
    </row>
    <row r="38" ht="15.75" customHeight="1" spans="1:8" x14ac:dyDescent="0.25">
      <c r="A38" s="32"/>
      <c r="B38" s="22" t="s">
        <v>22</v>
      </c>
      <c r="C38" s="29">
        <v>84046.20753742999</v>
      </c>
      <c r="D38" s="30">
        <v>24</v>
      </c>
      <c r="E38" s="30">
        <v>7</v>
      </c>
      <c r="F38" s="30">
        <v>19.5</v>
      </c>
      <c r="G38" s="30">
        <v>16.450967851524954</v>
      </c>
      <c r="H38" s="31"/>
    </row>
    <row r="39" ht="15.75" customHeight="1" spans="1:8" x14ac:dyDescent="0.25">
      <c r="A39" s="32" t="s">
        <v>29</v>
      </c>
      <c r="B39" s="22" t="s">
        <v>19</v>
      </c>
      <c r="C39" s="22">
        <v>0</v>
      </c>
      <c r="D39" s="23">
        <v>0</v>
      </c>
      <c r="E39" s="23">
        <v>0</v>
      </c>
      <c r="F39" s="23">
        <v>0</v>
      </c>
      <c r="G39" s="23">
        <v>0</v>
      </c>
      <c r="H39" s="24">
        <f>((C39*G39)+(C40*G40)+(C41*G41)+(C42*G42))/SUM(C39:C42)</f>
        <v>16.45392477158991</v>
      </c>
    </row>
    <row r="40" ht="15.75" customHeight="1" spans="1:8" x14ac:dyDescent="0.25">
      <c r="A40" s="32"/>
      <c r="B40" s="22" t="s">
        <v>20</v>
      </c>
      <c r="C40" s="25">
        <v>0.32772865</v>
      </c>
      <c r="D40" s="26">
        <v>3</v>
      </c>
      <c r="E40" s="26">
        <v>10</v>
      </c>
      <c r="F40" s="26">
        <v>13</v>
      </c>
      <c r="G40" s="26">
        <v>11.91702766907928</v>
      </c>
      <c r="H40" s="27"/>
    </row>
    <row r="41" ht="15.75" customHeight="1" spans="1:8" x14ac:dyDescent="0.25">
      <c r="A41" s="32"/>
      <c r="B41" s="22" t="s">
        <v>21</v>
      </c>
      <c r="C41" s="25">
        <v>50.65736042</v>
      </c>
      <c r="D41" s="26">
        <v>4</v>
      </c>
      <c r="E41" s="26">
        <v>15.75</v>
      </c>
      <c r="F41" s="26">
        <v>15.75</v>
      </c>
      <c r="G41" s="26">
        <v>15.75</v>
      </c>
      <c r="H41" s="27"/>
    </row>
    <row r="42" ht="15.75" customHeight="1" spans="1:8" x14ac:dyDescent="0.25">
      <c r="A42" s="32"/>
      <c r="B42" s="22" t="s">
        <v>22</v>
      </c>
      <c r="C42" s="29">
        <v>806.1998455</v>
      </c>
      <c r="D42" s="30">
        <v>1</v>
      </c>
      <c r="E42" s="30">
        <v>16.5</v>
      </c>
      <c r="F42" s="30">
        <v>16.5</v>
      </c>
      <c r="G42" s="30">
        <v>16.5</v>
      </c>
      <c r="H42" s="31"/>
    </row>
    <row r="43" ht="15.75" customHeight="1" spans="1:8" x14ac:dyDescent="0.25">
      <c r="A43" s="32" t="s">
        <v>30</v>
      </c>
      <c r="B43" s="22" t="s">
        <v>19</v>
      </c>
      <c r="C43" s="22">
        <v>332.07527672000003</v>
      </c>
      <c r="D43" s="23">
        <v>2</v>
      </c>
      <c r="E43" s="23">
        <v>14</v>
      </c>
      <c r="F43" s="23">
        <v>15</v>
      </c>
      <c r="G43" s="23">
        <v>14.10139728525587</v>
      </c>
      <c r="H43" s="24">
        <f>((C43*G43)+(C44*G44)+(C45*G45)+(C46*G46))/SUM(C43:C46)</f>
        <v>15.913859545712183</v>
      </c>
    </row>
    <row r="44" ht="15.75" customHeight="1" spans="1:8" x14ac:dyDescent="0.25">
      <c r="A44" s="32"/>
      <c r="B44" s="22" t="s">
        <v>20</v>
      </c>
      <c r="C44" s="25">
        <v>0.38170494999999993</v>
      </c>
      <c r="D44" s="26">
        <v>4</v>
      </c>
      <c r="E44" s="26">
        <v>10</v>
      </c>
      <c r="F44" s="26">
        <v>10</v>
      </c>
      <c r="G44" s="26">
        <v>10</v>
      </c>
      <c r="H44" s="27"/>
    </row>
    <row r="45" ht="15.75" customHeight="1" spans="1:8" x14ac:dyDescent="0.25">
      <c r="A45" s="32"/>
      <c r="B45" s="22" t="s">
        <v>21</v>
      </c>
      <c r="C45" s="25">
        <v>580.76618292</v>
      </c>
      <c r="D45" s="26">
        <v>10</v>
      </c>
      <c r="E45" s="26">
        <v>14.5</v>
      </c>
      <c r="F45" s="26">
        <v>14.5</v>
      </c>
      <c r="G45" s="26">
        <v>14.5</v>
      </c>
      <c r="H45" s="27"/>
    </row>
    <row r="46" ht="15.75" customHeight="1" spans="1:8" x14ac:dyDescent="0.25">
      <c r="A46" s="32"/>
      <c r="B46" s="22" t="s">
        <v>22</v>
      </c>
      <c r="C46" s="29">
        <v>2431.58965956</v>
      </c>
      <c r="D46" s="30">
        <v>4</v>
      </c>
      <c r="E46" s="30">
        <v>16.5</v>
      </c>
      <c r="F46" s="30">
        <v>16.5</v>
      </c>
      <c r="G46" s="30">
        <v>16.5</v>
      </c>
      <c r="H46" s="31"/>
    </row>
    <row r="47" ht="15.75" customHeight="1" spans="1:8" x14ac:dyDescent="0.25">
      <c r="A47" s="32" t="s">
        <v>31</v>
      </c>
      <c r="B47" s="22" t="s">
        <v>19</v>
      </c>
      <c r="C47" s="22">
        <v>399.89366232</v>
      </c>
      <c r="D47" s="23">
        <v>25</v>
      </c>
      <c r="E47" s="23">
        <v>15</v>
      </c>
      <c r="F47" s="23">
        <v>15</v>
      </c>
      <c r="G47" s="23">
        <v>15</v>
      </c>
      <c r="H47" s="24">
        <f>((C47*G47)+(C48*G48)+(C49*G49)+(C50*G50))/SUM(C47:C50)</f>
        <v>15.611494173311595</v>
      </c>
    </row>
    <row r="48" ht="15.75" customHeight="1" spans="1:8" x14ac:dyDescent="0.25">
      <c r="A48" s="32"/>
      <c r="B48" s="22" t="s">
        <v>20</v>
      </c>
      <c r="C48" s="25">
        <v>213.25685934999998</v>
      </c>
      <c r="D48" s="26">
        <v>133</v>
      </c>
      <c r="E48" s="26">
        <v>10</v>
      </c>
      <c r="F48" s="26">
        <v>15</v>
      </c>
      <c r="G48" s="26">
        <v>14.768241359172956</v>
      </c>
      <c r="H48" s="27"/>
    </row>
    <row r="49" ht="15.75" customHeight="1" spans="1:8" x14ac:dyDescent="0.25">
      <c r="A49" s="32"/>
      <c r="B49" s="22" t="s">
        <v>21</v>
      </c>
      <c r="C49" s="25">
        <v>1722.606024209999</v>
      </c>
      <c r="D49" s="26">
        <v>85</v>
      </c>
      <c r="E49" s="26">
        <v>10</v>
      </c>
      <c r="F49" s="26">
        <v>21.75</v>
      </c>
      <c r="G49" s="26">
        <v>15.827231263485517</v>
      </c>
      <c r="H49" s="27"/>
    </row>
    <row r="50" ht="15.75" customHeight="1" spans="1:8" x14ac:dyDescent="0.25">
      <c r="A50" s="32"/>
      <c r="B50" s="22" t="s">
        <v>22</v>
      </c>
      <c r="C50" s="29">
        <v>248.15392357</v>
      </c>
      <c r="D50" s="30">
        <v>23</v>
      </c>
      <c r="E50" s="30">
        <v>12</v>
      </c>
      <c r="F50" s="30">
        <v>16.5</v>
      </c>
      <c r="G50" s="30">
        <v>15.823991639788925</v>
      </c>
      <c r="H50" s="31"/>
    </row>
    <row r="51" ht="15.75" customHeight="1" spans="1:8" x14ac:dyDescent="0.25">
      <c r="A51" s="32" t="s">
        <v>32</v>
      </c>
      <c r="B51" s="22" t="s">
        <v>19</v>
      </c>
      <c r="C51" s="22">
        <v>486.49024745</v>
      </c>
      <c r="D51" s="23">
        <v>25</v>
      </c>
      <c r="E51" s="23">
        <v>15</v>
      </c>
      <c r="F51" s="23">
        <v>15</v>
      </c>
      <c r="G51" s="23">
        <v>15</v>
      </c>
      <c r="H51" s="24">
        <f>((C51*G51)+(C52*G52)+(C53*G53)+(C54*G54))/SUM(C51:C54)</f>
        <v>15.424020359993548</v>
      </c>
    </row>
    <row r="52" ht="15.75" customHeight="1" spans="1:8" x14ac:dyDescent="0.25">
      <c r="A52" s="32"/>
      <c r="B52" s="22" t="s">
        <v>20</v>
      </c>
      <c r="C52" s="25">
        <v>95.47911288000003</v>
      </c>
      <c r="D52" s="26">
        <v>135</v>
      </c>
      <c r="E52" s="26">
        <v>10</v>
      </c>
      <c r="F52" s="26">
        <v>18</v>
      </c>
      <c r="G52" s="26">
        <v>14.867304444209454</v>
      </c>
      <c r="H52" s="27"/>
    </row>
    <row r="53" ht="15.75" customHeight="1" spans="1:8" x14ac:dyDescent="0.25">
      <c r="A53" s="32"/>
      <c r="B53" s="22" t="s">
        <v>21</v>
      </c>
      <c r="C53" s="25">
        <v>730.2744424800001</v>
      </c>
      <c r="D53" s="26">
        <v>168</v>
      </c>
      <c r="E53" s="26">
        <v>10</v>
      </c>
      <c r="F53" s="26">
        <v>15.75</v>
      </c>
      <c r="G53" s="26">
        <v>15.692113332449454</v>
      </c>
      <c r="H53" s="27"/>
    </row>
    <row r="54" ht="15.75" customHeight="1" spans="1:8" x14ac:dyDescent="0.25">
      <c r="A54" s="32"/>
      <c r="B54" s="22" t="s">
        <v>22</v>
      </c>
      <c r="C54" s="29">
        <v>59.16010235000001</v>
      </c>
      <c r="D54" s="30">
        <v>5</v>
      </c>
      <c r="E54" s="30">
        <v>16.5</v>
      </c>
      <c r="F54" s="30">
        <v>16.5</v>
      </c>
      <c r="G54" s="30">
        <v>16.5</v>
      </c>
      <c r="H54" s="31"/>
    </row>
    <row r="55" ht="15.75" customHeight="1" spans="1:8" x14ac:dyDescent="0.25">
      <c r="A55" s="33" t="s">
        <v>33</v>
      </c>
      <c r="B55" s="22" t="s">
        <v>19</v>
      </c>
      <c r="C55" s="22">
        <v>0</v>
      </c>
      <c r="D55" s="23">
        <v>0</v>
      </c>
      <c r="E55" s="23">
        <v>0</v>
      </c>
      <c r="F55" s="23">
        <v>0</v>
      </c>
      <c r="G55" s="23">
        <v>0</v>
      </c>
      <c r="H55" s="24">
        <f>((C55*G55)+(C56*G56)+(C57*G57)+(C58*G58))/SUM(C55:C58)</f>
        <v>12.16061637797075</v>
      </c>
    </row>
    <row r="56" ht="15.75" customHeight="1" spans="1:8" x14ac:dyDescent="0.25">
      <c r="A56" s="34"/>
      <c r="B56" s="22" t="s">
        <v>20</v>
      </c>
      <c r="C56" s="25">
        <v>4.639484489999999</v>
      </c>
      <c r="D56" s="26">
        <v>108</v>
      </c>
      <c r="E56" s="26">
        <v>12</v>
      </c>
      <c r="F56" s="26">
        <v>19.5</v>
      </c>
      <c r="G56" s="26">
        <v>13.794264655468222</v>
      </c>
      <c r="H56" s="27"/>
    </row>
    <row r="57" ht="15.75" customHeight="1" spans="1:8" x14ac:dyDescent="0.25">
      <c r="A57" s="34"/>
      <c r="B57" s="22" t="s">
        <v>21</v>
      </c>
      <c r="C57" s="25">
        <v>4860.173441279997</v>
      </c>
      <c r="D57" s="26">
        <v>3391</v>
      </c>
      <c r="E57" s="26">
        <v>7</v>
      </c>
      <c r="F57" s="26">
        <v>21.5</v>
      </c>
      <c r="G57" s="26">
        <v>14.48096273772678</v>
      </c>
      <c r="H57" s="27"/>
    </row>
    <row r="58" ht="15.75" customHeight="1" spans="1:8" x14ac:dyDescent="0.25">
      <c r="A58" s="35"/>
      <c r="B58" s="22" t="s">
        <v>22</v>
      </c>
      <c r="C58" s="29">
        <v>34242.8650755902</v>
      </c>
      <c r="D58" s="30">
        <v>60044</v>
      </c>
      <c r="E58" s="30">
        <v>7</v>
      </c>
      <c r="F58" s="30">
        <v>22</v>
      </c>
      <c r="G58" s="30">
        <v>11.831062615071778</v>
      </c>
      <c r="H58" s="31"/>
    </row>
    <row r="59" ht="15.75" customHeight="1" spans="1:8" x14ac:dyDescent="0.25">
      <c r="A59" s="33" t="s">
        <v>34</v>
      </c>
      <c r="B59" s="22" t="s">
        <v>19</v>
      </c>
      <c r="C59" s="22">
        <v>18227.553683650003</v>
      </c>
      <c r="D59" s="23">
        <v>43569</v>
      </c>
      <c r="E59" s="23">
        <v>0</v>
      </c>
      <c r="F59" s="23">
        <v>0</v>
      </c>
      <c r="G59" s="23">
        <v>0</v>
      </c>
      <c r="H59" s="24">
        <f>((C59*G59)+(C60*G60)+(C61*G61)+(C62*G62))/SUM(C59:C62)</f>
        <v>5.24109535398262</v>
      </c>
    </row>
    <row r="60" ht="15.75" customHeight="1" spans="1:8" x14ac:dyDescent="0.25">
      <c r="A60" s="34"/>
      <c r="B60" s="22" t="s">
        <v>20</v>
      </c>
      <c r="C60" s="25">
        <v>0.11210045000000002</v>
      </c>
      <c r="D60" s="26">
        <v>23</v>
      </c>
      <c r="E60" s="26">
        <v>10</v>
      </c>
      <c r="F60" s="26">
        <v>19.5</v>
      </c>
      <c r="G60" s="26">
        <v>10.1705171121079</v>
      </c>
      <c r="H60" s="27"/>
    </row>
    <row r="61" ht="15.75" customHeight="1" spans="1:8" x14ac:dyDescent="0.25">
      <c r="A61" s="34"/>
      <c r="B61" s="22" t="s">
        <v>21</v>
      </c>
      <c r="C61" s="25">
        <v>47.281314359999996</v>
      </c>
      <c r="D61" s="26">
        <v>64</v>
      </c>
      <c r="E61" s="26">
        <v>7</v>
      </c>
      <c r="F61" s="26">
        <v>10</v>
      </c>
      <c r="G61" s="26">
        <v>7.00115614489022</v>
      </c>
      <c r="H61" s="27"/>
    </row>
    <row r="62" ht="15.75" customHeight="1" spans="1:8" x14ac:dyDescent="0.25">
      <c r="A62" s="35"/>
      <c r="B62" s="22" t="s">
        <v>22</v>
      </c>
      <c r="C62" s="29">
        <v>54091.70825036952</v>
      </c>
      <c r="D62" s="30">
        <v>26779</v>
      </c>
      <c r="E62" s="30">
        <v>7</v>
      </c>
      <c r="F62" s="30">
        <v>15</v>
      </c>
      <c r="G62" s="30">
        <v>7.00566481268981</v>
      </c>
      <c r="H62" s="31"/>
    </row>
    <row r="63" ht="15.75" customHeight="1" spans="1:8" x14ac:dyDescent="0.25">
      <c r="A63" s="32" t="s">
        <v>35</v>
      </c>
      <c r="B63" s="22" t="s">
        <v>19</v>
      </c>
      <c r="C63" s="22">
        <v>106.3544957</v>
      </c>
      <c r="D63" s="23">
        <v>3</v>
      </c>
      <c r="E63" s="23">
        <v>15</v>
      </c>
      <c r="F63" s="23">
        <v>15</v>
      </c>
      <c r="G63" s="23">
        <v>15</v>
      </c>
      <c r="H63" s="24">
        <f>((C63*G63)+(C64*G64)+(C65*G65)+(C66*G66))/SUM(C63:C66)</f>
        <v>14.887578389468558</v>
      </c>
    </row>
    <row r="64" ht="15.75" customHeight="1" spans="1:8" x14ac:dyDescent="0.25">
      <c r="A64" s="32"/>
      <c r="B64" s="22" t="s">
        <v>20</v>
      </c>
      <c r="C64" s="25">
        <v>0.75</v>
      </c>
      <c r="D64" s="26">
        <v>2</v>
      </c>
      <c r="E64" s="26">
        <v>13</v>
      </c>
      <c r="F64" s="26">
        <v>13</v>
      </c>
      <c r="G64" s="26">
        <v>13</v>
      </c>
      <c r="H64" s="27"/>
    </row>
    <row r="65" ht="15.75" customHeight="1" spans="1:8" x14ac:dyDescent="0.25">
      <c r="A65" s="32"/>
      <c r="B65" s="22" t="s">
        <v>21</v>
      </c>
      <c r="C65" s="25">
        <v>14.83915</v>
      </c>
      <c r="D65" s="26">
        <v>6</v>
      </c>
      <c r="E65" s="26">
        <v>14.5</v>
      </c>
      <c r="F65" s="26">
        <v>14.5</v>
      </c>
      <c r="G65" s="26">
        <v>14.5</v>
      </c>
      <c r="H65" s="27"/>
    </row>
    <row r="66" ht="15.75" customHeight="1" spans="1:8" x14ac:dyDescent="0.25">
      <c r="A66" s="32"/>
      <c r="B66" s="22" t="s">
        <v>22</v>
      </c>
      <c r="C66" s="29">
        <v>1.23200758</v>
      </c>
      <c r="D66" s="30">
        <v>2</v>
      </c>
      <c r="E66" s="30">
        <v>11</v>
      </c>
      <c r="F66" s="30">
        <v>11</v>
      </c>
      <c r="G66" s="30">
        <v>11</v>
      </c>
      <c r="H66" s="31"/>
    </row>
    <row r="67" ht="15.75" customHeight="1" spans="1:8" x14ac:dyDescent="0.25">
      <c r="A67" s="32" t="s">
        <v>36</v>
      </c>
      <c r="B67" s="22" t="s">
        <v>19</v>
      </c>
      <c r="C67" s="22">
        <v>90958.55298219998</v>
      </c>
      <c r="D67" s="23">
        <v>44627</v>
      </c>
      <c r="E67" s="23"/>
      <c r="F67" s="23"/>
      <c r="G67" s="23"/>
      <c r="H67" s="36"/>
    </row>
    <row r="68" ht="15.75" customHeight="1" spans="1:8" x14ac:dyDescent="0.25">
      <c r="A68" s="32"/>
      <c r="B68" s="22" t="s">
        <v>20</v>
      </c>
      <c r="C68" s="25">
        <v>176802.00043552998</v>
      </c>
      <c r="D68" s="26">
        <v>17070</v>
      </c>
      <c r="E68" s="26"/>
      <c r="F68" s="26"/>
      <c r="G68" s="26"/>
      <c r="H68" s="37"/>
    </row>
    <row r="69" ht="15.75" customHeight="1" spans="1:8" x14ac:dyDescent="0.25">
      <c r="A69" s="32"/>
      <c r="B69" s="22" t="s">
        <v>21</v>
      </c>
      <c r="C69" s="25">
        <v>137047.14949498995</v>
      </c>
      <c r="D69" s="26">
        <v>13664</v>
      </c>
      <c r="E69" s="26"/>
      <c r="F69" s="26"/>
      <c r="G69" s="26"/>
      <c r="H69" s="37"/>
    </row>
    <row r="70" ht="15.75" customHeight="1" spans="1:8" x14ac:dyDescent="0.25">
      <c r="A70" s="32"/>
      <c r="B70" s="22" t="s">
        <v>22</v>
      </c>
      <c r="C70" s="29">
        <v>277849.91414850974</v>
      </c>
      <c r="D70" s="30">
        <v>88212</v>
      </c>
      <c r="E70" s="30"/>
      <c r="F70" s="30"/>
      <c r="G70" s="30"/>
      <c r="H70" s="38"/>
    </row>
    <row r="71" ht="15.75" customHeight="1" spans="1:8" x14ac:dyDescent="0.25">
      <c r="A71" s="39"/>
      <c r="B71" s="22"/>
      <c r="C71" s="22"/>
      <c r="D71" s="23"/>
      <c r="E71" s="23"/>
      <c r="F71" s="23"/>
      <c r="G71" s="23"/>
      <c r="H71" s="36"/>
    </row>
    <row r="72" ht="15.75" customHeight="1" spans="1:8" x14ac:dyDescent="0.25">
      <c r="A72" s="40"/>
      <c r="B72" s="22"/>
      <c r="C72" s="25"/>
      <c r="D72" s="26"/>
      <c r="E72" s="26"/>
      <c r="F72" s="26"/>
      <c r="G72" s="26"/>
      <c r="H72" s="37"/>
    </row>
    <row r="73" ht="15.75" customHeight="1" spans="1:8" x14ac:dyDescent="0.25">
      <c r="A73" s="40"/>
      <c r="B73" s="22"/>
      <c r="C73" s="25"/>
      <c r="D73" s="26"/>
      <c r="E73" s="26"/>
      <c r="F73" s="26"/>
      <c r="G73" s="26"/>
      <c r="H73" s="37"/>
    </row>
    <row r="74" ht="15.75" customHeight="1" spans="1:8" x14ac:dyDescent="0.25">
      <c r="A74" s="41"/>
      <c r="B74" s="22"/>
      <c r="C74" s="29"/>
      <c r="D74" s="30"/>
      <c r="E74" s="30"/>
      <c r="F74" s="30"/>
      <c r="G74" s="30"/>
      <c r="H74" s="38"/>
    </row>
    <row r="75" ht="15.75" customHeight="1" spans="1:8" x14ac:dyDescent="0.25">
      <c r="A75" s="39"/>
      <c r="B75" s="22"/>
      <c r="C75" s="22"/>
      <c r="D75" s="23"/>
      <c r="E75" s="23"/>
      <c r="F75" s="23"/>
      <c r="G75" s="23"/>
      <c r="H75" s="36"/>
    </row>
    <row r="76" ht="15.75" customHeight="1" spans="1:8" x14ac:dyDescent="0.25">
      <c r="A76" s="40"/>
      <c r="B76" s="22"/>
      <c r="C76" s="25"/>
      <c r="D76" s="26"/>
      <c r="E76" s="26"/>
      <c r="F76" s="26"/>
      <c r="G76" s="26"/>
      <c r="H76" s="37"/>
    </row>
    <row r="77" ht="15.75" customHeight="1" spans="1:8" x14ac:dyDescent="0.25">
      <c r="A77" s="40"/>
      <c r="B77" s="22"/>
      <c r="C77" s="25"/>
      <c r="D77" s="26"/>
      <c r="E77" s="26"/>
      <c r="F77" s="26"/>
      <c r="G77" s="26"/>
      <c r="H77" s="37"/>
    </row>
    <row r="78" ht="15.75" customHeight="1" spans="1:8" x14ac:dyDescent="0.25">
      <c r="A78" s="41"/>
      <c r="B78" s="22"/>
      <c r="C78" s="29"/>
      <c r="D78" s="30"/>
      <c r="E78" s="30"/>
      <c r="F78" s="30"/>
      <c r="G78" s="30"/>
      <c r="H78" s="38"/>
    </row>
    <row r="79" ht="15.75" customHeight="1" spans="1:8" x14ac:dyDescent="0.25">
      <c r="A79" s="39"/>
      <c r="B79" s="22"/>
      <c r="C79" s="22"/>
      <c r="D79" s="23"/>
      <c r="E79" s="23"/>
      <c r="F79" s="23"/>
      <c r="G79" s="23"/>
      <c r="H79" s="36"/>
    </row>
    <row r="80" ht="15.75" customHeight="1" spans="1:8" x14ac:dyDescent="0.25">
      <c r="A80" s="40"/>
      <c r="B80" s="22"/>
      <c r="C80" s="25"/>
      <c r="D80" s="26"/>
      <c r="E80" s="26"/>
      <c r="F80" s="26"/>
      <c r="G80" s="26"/>
      <c r="H80" s="37"/>
    </row>
    <row r="81" ht="15.75" customHeight="1" spans="1:8" x14ac:dyDescent="0.25">
      <c r="A81" s="40"/>
      <c r="B81" s="22"/>
      <c r="C81" s="25"/>
      <c r="D81" s="26"/>
      <c r="E81" s="26"/>
      <c r="F81" s="26"/>
      <c r="G81" s="26"/>
      <c r="H81" s="37"/>
    </row>
    <row r="82" ht="15.75" customHeight="1" spans="1:8" x14ac:dyDescent="0.25">
      <c r="A82" s="41"/>
      <c r="B82" s="22"/>
      <c r="C82" s="29"/>
      <c r="D82" s="30"/>
      <c r="E82" s="30"/>
      <c r="F82" s="30"/>
      <c r="G82" s="30"/>
      <c r="H82" s="38"/>
    </row>
    <row r="83" ht="15.75" customHeight="1" spans="1:8" x14ac:dyDescent="0.25">
      <c r="A83" s="39"/>
      <c r="B83" s="22"/>
      <c r="C83" s="22"/>
      <c r="D83" s="23"/>
      <c r="E83" s="23"/>
      <c r="F83" s="23"/>
      <c r="G83" s="23"/>
      <c r="H83" s="36"/>
    </row>
    <row r="84" ht="15.75" customHeight="1" spans="1:8" x14ac:dyDescent="0.25">
      <c r="A84" s="40"/>
      <c r="B84" s="22"/>
      <c r="C84" s="25"/>
      <c r="D84" s="26"/>
      <c r="E84" s="26"/>
      <c r="F84" s="26"/>
      <c r="G84" s="26"/>
      <c r="H84" s="37"/>
    </row>
    <row r="85" ht="15.75" customHeight="1" spans="1:8" x14ac:dyDescent="0.25">
      <c r="A85" s="40"/>
      <c r="B85" s="22"/>
      <c r="C85" s="25"/>
      <c r="D85" s="26"/>
      <c r="E85" s="26"/>
      <c r="F85" s="26"/>
      <c r="G85" s="26"/>
      <c r="H85" s="37"/>
    </row>
    <row r="86" ht="15.75" customHeight="1" spans="1:8" x14ac:dyDescent="0.25">
      <c r="A86" s="41"/>
      <c r="B86" s="22"/>
      <c r="C86" s="29"/>
      <c r="D86" s="30"/>
      <c r="E86" s="30"/>
      <c r="F86" s="30"/>
      <c r="G86" s="30"/>
      <c r="H86" s="38"/>
    </row>
    <row r="87" ht="15.75" customHeight="1" spans="1:8" x14ac:dyDescent="0.25">
      <c r="A87" s="39"/>
      <c r="B87" s="22"/>
      <c r="C87" s="22"/>
      <c r="D87" s="23"/>
      <c r="E87" s="23"/>
      <c r="F87" s="23"/>
      <c r="G87" s="23"/>
      <c r="H87" s="36"/>
    </row>
    <row r="88" ht="15.75" customHeight="1" spans="1:8" x14ac:dyDescent="0.25">
      <c r="A88" s="40"/>
      <c r="B88" s="22"/>
      <c r="C88" s="25"/>
      <c r="D88" s="26"/>
      <c r="E88" s="26"/>
      <c r="F88" s="26"/>
      <c r="G88" s="26"/>
      <c r="H88" s="37"/>
    </row>
    <row r="89" ht="15.75" customHeight="1" spans="1:8" x14ac:dyDescent="0.25">
      <c r="A89" s="40"/>
      <c r="B89" s="22"/>
      <c r="C89" s="25"/>
      <c r="D89" s="26"/>
      <c r="E89" s="26"/>
      <c r="F89" s="26"/>
      <c r="G89" s="26"/>
      <c r="H89" s="37"/>
    </row>
    <row r="90" ht="15.75" customHeight="1" spans="1:8" x14ac:dyDescent="0.25">
      <c r="A90" s="41"/>
      <c r="B90" s="22"/>
      <c r="C90" s="29"/>
      <c r="D90" s="30"/>
      <c r="E90" s="30"/>
      <c r="F90" s="30"/>
      <c r="G90" s="30"/>
      <c r="H90" s="38"/>
    </row>
    <row r="91" ht="15.75" customHeight="1" spans="1:8" x14ac:dyDescent="0.25">
      <c r="A91" s="39"/>
      <c r="B91" s="22"/>
      <c r="C91" s="22"/>
      <c r="D91" s="23"/>
      <c r="E91" s="23"/>
      <c r="F91" s="23"/>
      <c r="G91" s="23"/>
      <c r="H91" s="36"/>
    </row>
    <row r="92" ht="15.75" customHeight="1" spans="1:8" x14ac:dyDescent="0.25">
      <c r="A92" s="40"/>
      <c r="B92" s="22"/>
      <c r="C92" s="25"/>
      <c r="D92" s="26"/>
      <c r="E92" s="26"/>
      <c r="F92" s="26"/>
      <c r="G92" s="26"/>
      <c r="H92" s="37"/>
    </row>
    <row r="93" ht="15.75" customHeight="1" spans="1:8" x14ac:dyDescent="0.25">
      <c r="A93" s="40"/>
      <c r="B93" s="22"/>
      <c r="C93" s="25"/>
      <c r="D93" s="26"/>
      <c r="E93" s="26"/>
      <c r="F93" s="26"/>
      <c r="G93" s="26"/>
      <c r="H93" s="37"/>
    </row>
    <row r="94" ht="15.75" customHeight="1" spans="1:8" x14ac:dyDescent="0.25">
      <c r="A94" s="41"/>
      <c r="B94" s="22"/>
      <c r="C94" s="29"/>
      <c r="D94" s="30"/>
      <c r="E94" s="30"/>
      <c r="F94" s="30"/>
      <c r="G94" s="30"/>
      <c r="H94" s="38"/>
    </row>
    <row r="95" ht="15.75" customHeight="1" spans="1:8" x14ac:dyDescent="0.25">
      <c r="A95" s="39"/>
      <c r="B95" s="22"/>
      <c r="C95" s="22"/>
      <c r="D95" s="23"/>
      <c r="E95" s="23"/>
      <c r="F95" s="23"/>
      <c r="G95" s="23"/>
      <c r="H95" s="36"/>
    </row>
    <row r="96" ht="15.75" customHeight="1" spans="1:8" x14ac:dyDescent="0.25">
      <c r="A96" s="40"/>
      <c r="B96" s="22"/>
      <c r="C96" s="25"/>
      <c r="D96" s="26"/>
      <c r="E96" s="26"/>
      <c r="F96" s="26"/>
      <c r="G96" s="26"/>
      <c r="H96" s="37"/>
    </row>
    <row r="97" ht="15.75" customHeight="1" spans="1:8" x14ac:dyDescent="0.25">
      <c r="A97" s="40"/>
      <c r="B97" s="22"/>
      <c r="C97" s="25"/>
      <c r="D97" s="26"/>
      <c r="E97" s="26"/>
      <c r="F97" s="26"/>
      <c r="G97" s="26"/>
      <c r="H97" s="37"/>
    </row>
    <row r="98" ht="15.75" customHeight="1" spans="1:8" x14ac:dyDescent="0.25">
      <c r="A98" s="42"/>
      <c r="B98" s="22"/>
      <c r="C98" s="43"/>
      <c r="D98" s="44"/>
      <c r="E98" s="44"/>
      <c r="F98" s="44"/>
      <c r="G98" s="44"/>
      <c r="H98" s="45"/>
    </row>
    <row r="99" ht="15.75" customHeight="1" x14ac:dyDescent="0.25"/>
  </sheetData>
  <sheetProtection sheet="1" objects="1" scenarios="1"/>
  <mergeCells count="35">
    <mergeCell ref="A4:H4"/>
    <mergeCell ref="E9:H9"/>
    <mergeCell ref="A9:A10"/>
    <mergeCell ref="B9:B10"/>
    <mergeCell ref="C9:C10"/>
    <mergeCell ref="D9:D10"/>
    <mergeCell ref="A11:A14"/>
    <mergeCell ref="H11:H14"/>
    <mergeCell ref="A15:A18"/>
    <mergeCell ref="H15:H18"/>
    <mergeCell ref="A19:A22"/>
    <mergeCell ref="H19:H22"/>
    <mergeCell ref="A23:A26"/>
    <mergeCell ref="H23:H26"/>
    <mergeCell ref="A27:A30"/>
    <mergeCell ref="H27:H30"/>
    <mergeCell ref="A31:A34"/>
    <mergeCell ref="H31:H34"/>
    <mergeCell ref="A35:A38"/>
    <mergeCell ref="H35:H38"/>
    <mergeCell ref="A39:A42"/>
    <mergeCell ref="H39:H42"/>
    <mergeCell ref="A43:A46"/>
    <mergeCell ref="H43:H46"/>
    <mergeCell ref="A47:A50"/>
    <mergeCell ref="H47:H50"/>
    <mergeCell ref="A51:A54"/>
    <mergeCell ref="H51:H54"/>
    <mergeCell ref="A55:A58"/>
    <mergeCell ref="H55:H58"/>
    <mergeCell ref="A59:A62"/>
    <mergeCell ref="H59:H62"/>
    <mergeCell ref="A63:A66"/>
    <mergeCell ref="H63:H66"/>
    <mergeCell ref="A67:A70"/>
  </mergeCells>
  <dataValidations count="1">
    <dataValidation type="list" allowBlank="1" showInputMessage="1" showErrorMessage="1" sqref="B11:B98">
      <formula1>$J$12:$J$15</formula1>
    </dataValidation>
  </dataValidation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Ermias Solomon Getachew</cp:lastModifiedBy>
  <dcterms:created xsi:type="dcterms:W3CDTF">2026-08-05T07:43:22Z</dcterms:created>
  <dcterms:modified xsi:type="dcterms:W3CDTF">2026-09-05T09:19:07Z</dcterms:modified>
</cp:coreProperties>
</file>