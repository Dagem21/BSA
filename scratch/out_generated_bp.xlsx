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585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<sst xmlns="http://schemas.openxmlformats.org/spreadsheetml/2006/main" count="39" uniqueCount="39">
  <si>
    <t>INT_FRE_SP_BP001</t>
  </si>
  <si>
    <t>Interest Free Banking Service Profit and loss statement</t>
  </si>
  <si>
    <t xml:space="preserve">Instiution Code </t>
  </si>
  <si>
    <t>0000001</t>
  </si>
  <si>
    <t>Financial Year</t>
  </si>
  <si>
    <t>Start Date</t>
  </si>
  <si>
    <t>2026-07-01T00:00:00</t>
  </si>
  <si>
    <t>End Date</t>
  </si>
  <si>
    <t>2026-09-30T00:00:00</t>
  </si>
  <si>
    <t>Amount in Millions of Birr</t>
  </si>
  <si>
    <t>S.No.</t>
  </si>
  <si>
    <t xml:space="preserve">Description </t>
  </si>
  <si>
    <t>Amount</t>
  </si>
  <si>
    <t>Income</t>
  </si>
  <si>
    <t>Income derived from trade financing</t>
  </si>
  <si>
    <t>Income derived from Ijara (leasing)</t>
  </si>
  <si>
    <t>Income derived from Mudarabah investment</t>
  </si>
  <si>
    <t>Income derived from Musharakah investment</t>
  </si>
  <si>
    <t>Charges &amp; commissions (=5.1+5.2)</t>
  </si>
  <si>
    <t>1.5.1</t>
  </si>
  <si>
    <t>Charges &amp; commissions- local</t>
  </si>
  <si>
    <t>1.5.2</t>
  </si>
  <si>
    <t>Charges &amp; commissions-foreign</t>
  </si>
  <si>
    <t xml:space="preserve">Gain on foreign Exchange </t>
  </si>
  <si>
    <t>Other income</t>
  </si>
  <si>
    <t>Total distributable income(Sum 1.1-1.7)</t>
  </si>
  <si>
    <t>Income attributable to depositors/investors</t>
  </si>
  <si>
    <t>1.10</t>
  </si>
  <si>
    <t>Total income(=1.8-1.9)</t>
  </si>
  <si>
    <t>Expenses</t>
  </si>
  <si>
    <t>Staff salaries and benefits</t>
  </si>
  <si>
    <t>Sharia Advisory Committee fee (if any)</t>
  </si>
  <si>
    <t>Administrative and General expense</t>
  </si>
  <si>
    <t>Other expense</t>
  </si>
  <si>
    <t>Operating income before tax and provisions[1.10-(sum 2.1-2.4)]</t>
  </si>
  <si>
    <t>Impairment losses on financing, investment, Ijarah financing and others</t>
  </si>
  <si>
    <t>Total net income before tax(2.5-2.6)</t>
  </si>
  <si>
    <t>Business profit tax Payable</t>
  </si>
  <si>
    <t>Net income after tax &amp; provisions (2.7-2.8)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</si>
</sst>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52]yyyy-mm-dd;@"/>
  </numFmts>
  <fonts count="5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rgb="FFFF0000"/>
      <family val="1"/>
      <sz val="16"/>
      <name val="Times New Roman"/>
    </font>
    <font>
      <b/>
      <color theme="1"/>
      <family val="1"/>
      <sz val="12"/>
      <name val="Times New Roman"/>
    </font>
    <font>
      <color theme="1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20">
    <border>
      <left/>
      <right/>
      <top/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/>
    </xf>
    <xf numFmtId="49" fontId="1" fillId="3" borderId="9" xfId="0" applyNumberFormat="1" applyFont="1" applyFill="1" applyBorder="1" applyAlignment="1" applyProtection="1">
      <alignment horizontal="right"/>
      <protection locked="0"/>
    </xf>
    <xf numFmtId="0" fontId="3" fillId="3" borderId="10" xfId="0" applyFont="1" applyFill="1" applyBorder="1" applyAlignment="1">
      <alignment horizontal="left"/>
    </xf>
    <xf numFmtId="49" fontId="1" fillId="3" borderId="10" xfId="0" applyNumberFormat="1" applyFont="1" applyFill="1" applyBorder="1" applyAlignment="1" applyProtection="1">
      <alignment horizontal="right"/>
      <protection locked="0"/>
    </xf>
    <xf numFmtId="164" fontId="1" fillId="3" borderId="10" xfId="0" applyNumberFormat="1" applyFont="1" applyFill="1" applyBorder="1" applyAlignment="1" applyProtection="1">
      <alignment horizontal="right"/>
      <protection locked="0"/>
    </xf>
    <xf numFmtId="0" fontId="4" fillId="4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horizontal="center" vertical="top" wrapText="1"/>
    </xf>
    <xf numFmtId="0" fontId="3" fillId="5" borderId="14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center" vertical="top" wrapText="1"/>
    </xf>
    <xf numFmtId="0" fontId="1" fillId="6" borderId="16" xfId="0" applyFont="1" applyFill="1" applyBorder="1" applyAlignment="1">
      <alignment horizontal="right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39" fontId="1" fillId="0" borderId="16" xfId="0" applyNumberFormat="1" applyFont="1" applyBorder="1" applyAlignment="1" applyProtection="1">
      <alignment horizontal="right" vertical="top" wrapText="1"/>
      <protection locked="0"/>
    </xf>
    <xf numFmtId="39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center"/>
    </xf>
    <xf numFmtId="0" fontId="3" fillId="0" borderId="0" xfId="0" applyFont="1"/>
    <xf numFmtId="0" fontId="3" fillId="0" borderId="15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39" fontId="3" fillId="0" borderId="16" xfId="0" applyNumberFormat="1" applyFont="1" applyBorder="1" applyAlignment="1">
      <alignment horizontal="right" vertical="top" wrapText="1"/>
    </xf>
    <xf numFmtId="49" fontId="3" fillId="0" borderId="15" xfId="0" applyNumberFormat="1" applyFont="1" applyBorder="1" applyAlignment="1">
      <alignment horizontal="center" vertical="top" wrapText="1"/>
    </xf>
    <xf numFmtId="0" fontId="1" fillId="6" borderId="15" xfId="0" applyFont="1" applyFill="1" applyBorder="1" applyAlignment="1">
      <alignment horizontal="center" vertical="top" wrapText="1"/>
    </xf>
    <xf numFmtId="39" fontId="1" fillId="6" borderId="16" xfId="0" applyNumberFormat="1" applyFont="1" applyFill="1" applyBorder="1" applyAlignment="1">
      <alignment horizontal="right" vertical="top" wrapText="1"/>
    </xf>
    <xf numFmtId="0" fontId="3" fillId="6" borderId="18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vertical="top" wrapText="1"/>
    </xf>
    <xf numFmtId="39" fontId="3" fillId="6" borderId="1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>
      <selection activeCell="C16" sqref="C16"/>
    </sheetView>
  </sheetViews>
  <sheetFormatPr defaultRowHeight="15.75" outlineLevelRow="0" outlineLevelCol="0" x14ac:dyDescent="0.25" customHeight="1"/>
  <cols>
    <col min="1" max="1" width="9.140625" style="1" customWidth="1"/>
    <col min="2" max="2" width="65.28515625" style="1" customWidth="1"/>
    <col min="3" max="3" width="26" style="1" customWidth="1"/>
    <col min="4" max="16384" width="9.140625" style="1" customWidth="1"/>
  </cols>
  <sheetData>
    <row r="1" spans="1:1" x14ac:dyDescent="0.25">
      <c r="A1" s="1" t="s">
        <v>0</v>
      </c>
    </row>
    <row r="3" ht="16.5" customHeight="1" x14ac:dyDescent="0.25"/>
    <row r="4" ht="16.5" customHeight="1" spans="1:3" x14ac:dyDescent="0.25">
      <c r="A4" s="2" t="s">
        <v>1</v>
      </c>
      <c r="B4" s="3"/>
      <c r="C4" s="4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ht="16.5" customHeight="1" spans="1:3" x14ac:dyDescent="0.25">
      <c r="A7" s="8"/>
      <c r="B7" s="9"/>
      <c r="C7" s="10"/>
    </row>
    <row r="8" ht="16.5" customHeight="1" spans="1:3" x14ac:dyDescent="0.25">
      <c r="A8" s="11" t="s">
        <v>2</v>
      </c>
      <c r="B8" s="11"/>
      <c r="C8" s="12" t="s">
        <v>3</v>
      </c>
    </row>
    <row r="9" spans="1:3" x14ac:dyDescent="0.25">
      <c r="A9" s="13" t="s">
        <v>4</v>
      </c>
      <c r="B9" s="13"/>
      <c r="C9" s="14">
        <v>2026</v>
      </c>
    </row>
    <row r="10" spans="1:3" x14ac:dyDescent="0.25">
      <c r="A10" s="13" t="s">
        <v>5</v>
      </c>
      <c r="B10" s="13"/>
      <c r="C10" s="15" t="s">
        <v>6</v>
      </c>
    </row>
    <row r="11" spans="1:3" x14ac:dyDescent="0.25">
      <c r="A11" s="13" t="s">
        <v>7</v>
      </c>
      <c r="B11" s="13"/>
      <c r="C11" s="15" t="s">
        <v>8</v>
      </c>
    </row>
    <row r="12" spans="1:3" x14ac:dyDescent="0.25">
      <c r="A12" s="1"/>
      <c r="B12" s="1"/>
      <c r="C12" s="1"/>
    </row>
    <row r="13" ht="16.5" customHeight="1" spans="1:3" x14ac:dyDescent="0.25">
      <c r="A13" s="1"/>
      <c r="B13" s="1"/>
      <c r="C13" s="16" t="s">
        <v>9</v>
      </c>
    </row>
    <row r="14" ht="16.5" customHeight="1" spans="1:3" x14ac:dyDescent="0.25">
      <c r="A14" s="17" t="s">
        <v>10</v>
      </c>
      <c r="B14" s="18" t="s">
        <v>11</v>
      </c>
      <c r="C14" s="19" t="s">
        <v>12</v>
      </c>
    </row>
    <row r="15" spans="1:3" x14ac:dyDescent="0.25">
      <c r="A15" s="20">
        <v>1</v>
      </c>
      <c r="B15" s="21" t="s">
        <v>13</v>
      </c>
      <c r="C15" s="22"/>
    </row>
    <row r="16" spans="1:3" x14ac:dyDescent="0.25">
      <c r="A16" s="23">
        <v>1.1</v>
      </c>
      <c r="B16" s="24" t="s">
        <v>14</v>
      </c>
      <c r="C16" s="25">
        <v>1492.43338191</v>
      </c>
    </row>
    <row r="17" spans="1:3" x14ac:dyDescent="0.25">
      <c r="A17" s="23">
        <v>1.2</v>
      </c>
      <c r="B17" s="24" t="s">
        <v>15</v>
      </c>
      <c r="C17" s="25"/>
    </row>
    <row r="18" spans="1:3" x14ac:dyDescent="0.25">
      <c r="A18" s="23">
        <v>1.3</v>
      </c>
      <c r="B18" s="24" t="s">
        <v>16</v>
      </c>
      <c r="C18" s="25"/>
    </row>
    <row r="19" spans="1:3" x14ac:dyDescent="0.25">
      <c r="A19" s="23">
        <v>1.4</v>
      </c>
      <c r="B19" s="24" t="s">
        <v>17</v>
      </c>
      <c r="C19" s="25"/>
    </row>
    <row r="20" spans="1:3" x14ac:dyDescent="0.25">
      <c r="A20" s="23">
        <v>1.5</v>
      </c>
      <c r="B20" s="24" t="s">
        <v>18</v>
      </c>
      <c r="C20" s="26">
        <f>SUM(C21:C22)</f>
        <v>307.24975823999995</v>
      </c>
    </row>
    <row r="21" spans="1:3" x14ac:dyDescent="0.25">
      <c r="A21" s="23" t="s">
        <v>19</v>
      </c>
      <c r="B21" s="24" t="s">
        <v>20</v>
      </c>
      <c r="C21" s="25">
        <v>307.24975823999995</v>
      </c>
    </row>
    <row r="22" spans="1:3" x14ac:dyDescent="0.25">
      <c r="A22" s="27" t="s">
        <v>21</v>
      </c>
      <c r="B22" s="24" t="s">
        <v>22</v>
      </c>
      <c r="C22" s="25"/>
    </row>
    <row r="23" spans="1:3" x14ac:dyDescent="0.25">
      <c r="A23" s="23">
        <v>1.6</v>
      </c>
      <c r="B23" s="24" t="s">
        <v>23</v>
      </c>
      <c r="C23" s="25">
        <v>-16.430991310000007</v>
      </c>
    </row>
    <row r="24" spans="1:3" x14ac:dyDescent="0.25">
      <c r="A24" s="23">
        <v>1.7</v>
      </c>
      <c r="B24" s="24" t="s">
        <v>24</v>
      </c>
      <c r="C24" s="25">
        <v>7.48899191</v>
      </c>
    </row>
    <row r="25" spans="1:3" s="28" customFormat="1" x14ac:dyDescent="0.25">
      <c r="A25" s="29">
        <v>1.8</v>
      </c>
      <c r="B25" s="30" t="s">
        <v>25</v>
      </c>
      <c r="C25" s="31">
        <f>C16+C17+C18+C19+C20+C23+C24</f>
        <v>1790.7411407499999</v>
      </c>
    </row>
    <row r="26" spans="1:3" x14ac:dyDescent="0.25">
      <c r="A26" s="23">
        <v>1.9</v>
      </c>
      <c r="B26" s="24" t="s">
        <v>26</v>
      </c>
      <c r="C26" s="25"/>
    </row>
    <row r="27" spans="1:3" s="28" customFormat="1" x14ac:dyDescent="0.25">
      <c r="A27" s="32" t="s">
        <v>27</v>
      </c>
      <c r="B27" s="30" t="s">
        <v>28</v>
      </c>
      <c r="C27" s="31">
        <f>C25-C26</f>
        <v>1790.7411407499999</v>
      </c>
    </row>
    <row r="28" spans="1:3" x14ac:dyDescent="0.25">
      <c r="A28" s="33">
        <v>2</v>
      </c>
      <c r="B28" s="21" t="s">
        <v>29</v>
      </c>
      <c r="C28" s="34"/>
    </row>
    <row r="29" spans="1:3" x14ac:dyDescent="0.25">
      <c r="A29" s="23">
        <v>2.1</v>
      </c>
      <c r="B29" s="24" t="s">
        <v>30</v>
      </c>
      <c r="C29" s="25">
        <v>316.418174</v>
      </c>
    </row>
    <row r="30" spans="1:3" x14ac:dyDescent="0.25">
      <c r="A30" s="23">
        <v>2.2</v>
      </c>
      <c r="B30" s="24" t="s">
        <v>31</v>
      </c>
      <c r="C30" s="25">
        <v>0.495136</v>
      </c>
    </row>
    <row r="31" spans="1:3" x14ac:dyDescent="0.25">
      <c r="A31" s="23">
        <v>2.3</v>
      </c>
      <c r="B31" s="24" t="s">
        <v>32</v>
      </c>
      <c r="C31" s="25">
        <v>211.42523119</v>
      </c>
    </row>
    <row r="32" spans="1:3" x14ac:dyDescent="0.25">
      <c r="A32" s="23">
        <v>2.4</v>
      </c>
      <c r="B32" s="24" t="s">
        <v>33</v>
      </c>
      <c r="C32" s="25"/>
    </row>
    <row r="33" spans="1:3" s="28" customFormat="1" x14ac:dyDescent="0.25">
      <c r="A33" s="29">
        <v>2.5</v>
      </c>
      <c r="B33" s="30" t="s">
        <v>34</v>
      </c>
      <c r="C33" s="31">
        <f>C27-(C29+C30+C31+C32)</f>
        <v>1262.40259956</v>
      </c>
    </row>
    <row r="34" spans="1:3" x14ac:dyDescent="0.25">
      <c r="A34" s="23">
        <v>2.6</v>
      </c>
      <c r="B34" s="24" t="s">
        <v>35</v>
      </c>
      <c r="C34" s="25"/>
    </row>
    <row r="35" spans="1:3" x14ac:dyDescent="0.25">
      <c r="A35" s="23">
        <v>2.7</v>
      </c>
      <c r="B35" s="24" t="s">
        <v>36</v>
      </c>
      <c r="C35" s="26">
        <f>C33-C34</f>
        <v>1262.40259956</v>
      </c>
    </row>
    <row r="36" spans="1:3" x14ac:dyDescent="0.25">
      <c r="A36" s="23">
        <v>2.8</v>
      </c>
      <c r="B36" s="24" t="s">
        <v>37</v>
      </c>
      <c r="C36" s="26">
        <f>IF(C35&lt;0,"0",C35*0.3)</f>
        <v>378.72077986799997</v>
      </c>
    </row>
    <row r="37" ht="16.5" customHeight="1" spans="1:3" s="28" customFormat="1" x14ac:dyDescent="0.25">
      <c r="A37" s="35">
        <v>3</v>
      </c>
      <c r="B37" s="36" t="s">
        <v>38</v>
      </c>
      <c r="C37" s="37">
        <f>C35-C36</f>
        <v>883.6818196920001</v>
      </c>
    </row>
    <row r="38" ht="16.5" customHeight="1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</sheetData>
  <sheetProtection sheet="1" objects="1" scenarios="1"/>
  <mergeCells count="5">
    <mergeCell ref="A4:C7"/>
    <mergeCell ref="A8:B8"/>
    <mergeCell ref="A9:B9"/>
    <mergeCell ref="A10:B10"/>
    <mergeCell ref="A11:B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Dagnachew Tsegaye Demissie</cp:lastModifiedBy>
  <dcterms:created xsi:type="dcterms:W3CDTF">2016-06-17T18:49:35Z</dcterms:created>
  <dcterms:modified xsi:type="dcterms:W3CDTF">2026-09-02T07:29:56Z</dcterms:modified>
</cp:coreProperties>
</file>